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1_{136CC6CF-4B29-45F6-AD7D-D2D51C2EB572}" xr6:coauthVersionLast="47" xr6:coauthVersionMax="47" xr10:uidLastSave="{00000000-0000-0000-0000-000000000000}"/>
  <bookViews>
    <workbookView xWindow="-28920" yWindow="-120" windowWidth="29040" windowHeight="15720" xr2:uid="{663FA774-BD14-4CFB-8B11-98F37A0D3E51}"/>
  </bookViews>
  <sheets>
    <sheet name="simulator" sheetId="16" r:id="rId1"/>
    <sheet name="lkup_simul" sheetId="4" r:id="rId2"/>
    <sheet name="conv_Kstars" sheetId="3" r:id="rId3"/>
    <sheet name="hts_calculator" sheetId="18" r:id="rId4"/>
    <sheet name="version_notes" sheetId="17" r:id="rId5"/>
    <sheet name="dfk_pk" sheetId="7" state="hidden" r:id="rId6"/>
  </sheets>
  <definedNames>
    <definedName name="Season">#REF!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6" l="1"/>
  <c r="P5" i="16"/>
  <c r="HB27" i="4"/>
  <c r="HB25" i="4"/>
  <c r="AS36" i="16" l="1"/>
  <c r="AQ36" i="16"/>
  <c r="AQ33" i="16"/>
  <c r="AS33" i="16"/>
  <c r="GP3" i="4"/>
  <c r="GP4" i="4" s="1"/>
  <c r="GP5" i="4" s="1"/>
  <c r="GP6" i="4" s="1"/>
  <c r="GP7" i="4" s="1"/>
  <c r="GP8" i="4" s="1"/>
  <c r="GP9" i="4" s="1"/>
  <c r="GP10" i="4" s="1"/>
  <c r="GP11" i="4" s="1"/>
  <c r="GP12" i="4" s="1"/>
  <c r="GP13" i="4" s="1"/>
  <c r="GR2" i="4"/>
  <c r="GT2" i="4"/>
  <c r="BC12" i="16"/>
  <c r="BB12" i="16"/>
  <c r="X20" i="4"/>
  <c r="X19" i="4"/>
  <c r="X18" i="4"/>
  <c r="X17" i="4"/>
  <c r="X16" i="4"/>
  <c r="X15" i="4"/>
  <c r="X14" i="4"/>
  <c r="X13" i="4"/>
  <c r="AM20" i="16"/>
  <c r="AL20" i="16"/>
  <c r="GM3" i="4"/>
  <c r="GM2" i="4"/>
  <c r="GM6" i="4" s="1"/>
  <c r="GN6" i="4" s="1"/>
  <c r="BC6" i="16"/>
  <c r="BB6" i="16"/>
  <c r="EM22" i="3"/>
  <c r="EM21" i="3"/>
  <c r="EL22" i="3"/>
  <c r="EL21" i="3"/>
  <c r="ED13" i="3"/>
  <c r="AM17" i="16"/>
  <c r="AL17" i="16"/>
  <c r="DU14" i="4"/>
  <c r="DU3" i="4"/>
  <c r="DR5" i="4"/>
  <c r="DR4" i="4"/>
  <c r="N15" i="18"/>
  <c r="AV9" i="16"/>
  <c r="AU9" i="16"/>
  <c r="CB70" i="3"/>
  <c r="CA69" i="3"/>
  <c r="CA68" i="3"/>
  <c r="CA67" i="3"/>
  <c r="CA66" i="3"/>
  <c r="CA65" i="3"/>
  <c r="CA64" i="3"/>
  <c r="CA63" i="3"/>
  <c r="CA62" i="3"/>
  <c r="CA61" i="3"/>
  <c r="CA60" i="3"/>
  <c r="CA59" i="3"/>
  <c r="CB58" i="3"/>
  <c r="AH10" i="4"/>
  <c r="AI10" i="4" s="1"/>
  <c r="AH11" i="4"/>
  <c r="AI11" i="4" s="1"/>
  <c r="AH12" i="4"/>
  <c r="AI12" i="4" s="1"/>
  <c r="AH13" i="4"/>
  <c r="AI13" i="4" s="1"/>
  <c r="AH15" i="4"/>
  <c r="AI15" i="4" s="1"/>
  <c r="AH16" i="4"/>
  <c r="AI16" i="4" s="1"/>
  <c r="AH17" i="4"/>
  <c r="AI17" i="4" s="1"/>
  <c r="AH18" i="4"/>
  <c r="AH19" i="4"/>
  <c r="AH20" i="4"/>
  <c r="AI20" i="4" s="1"/>
  <c r="AH21" i="4"/>
  <c r="AI21" i="4" s="1"/>
  <c r="AH22" i="4"/>
  <c r="AI22" i="4" s="1"/>
  <c r="AH23" i="4"/>
  <c r="AI23" i="4" s="1"/>
  <c r="AH24" i="4"/>
  <c r="AI24" i="4" s="1"/>
  <c r="AH25" i="4"/>
  <c r="AI25" i="4" s="1"/>
  <c r="AH26" i="4"/>
  <c r="AI26" i="4" s="1"/>
  <c r="AH27" i="4"/>
  <c r="AH28" i="4" s="1"/>
  <c r="AH9" i="4"/>
  <c r="AH8" i="4" s="1"/>
  <c r="AI14" i="4"/>
  <c r="AI18" i="4"/>
  <c r="AI19" i="4"/>
  <c r="AI27" i="4"/>
  <c r="AI2" i="4"/>
  <c r="AA11" i="4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A28" i="4" s="1"/>
  <c r="AA29" i="4" s="1"/>
  <c r="AA30" i="4" s="1"/>
  <c r="AA31" i="4" s="1"/>
  <c r="AA32" i="4" s="1"/>
  <c r="AA33" i="4" s="1"/>
  <c r="AA4" i="4"/>
  <c r="AA5" i="4" s="1"/>
  <c r="AA6" i="4" s="1"/>
  <c r="AA7" i="4" s="1"/>
  <c r="AA8" i="4" s="1"/>
  <c r="AA9" i="4" s="1"/>
  <c r="AB31" i="16"/>
  <c r="AA31" i="16"/>
  <c r="AY5" i="3"/>
  <c r="CB9" i="3"/>
  <c r="CC9" i="3"/>
  <c r="CF9" i="3"/>
  <c r="CG9" i="3"/>
  <c r="CH9" i="3"/>
  <c r="CI9" i="3"/>
  <c r="CJ9" i="3"/>
  <c r="CK9" i="3"/>
  <c r="CL9" i="3"/>
  <c r="CM9" i="3"/>
  <c r="CN9" i="3"/>
  <c r="CO9" i="3"/>
  <c r="DS9" i="3" s="1"/>
  <c r="CQ9" i="3"/>
  <c r="CR9" i="3"/>
  <c r="DV9" i="3" s="1"/>
  <c r="CS9" i="3"/>
  <c r="CT9" i="3"/>
  <c r="CU9" i="3"/>
  <c r="CE10" i="3"/>
  <c r="CF10" i="3"/>
  <c r="CG10" i="3"/>
  <c r="DK10" i="3" s="1"/>
  <c r="CH10" i="3"/>
  <c r="CI10" i="3"/>
  <c r="DM10" i="3" s="1"/>
  <c r="CJ10" i="3"/>
  <c r="CK10" i="3"/>
  <c r="CL10" i="3"/>
  <c r="CM10" i="3"/>
  <c r="CF11" i="3"/>
  <c r="CI11" i="3"/>
  <c r="CJ11" i="3"/>
  <c r="CK11" i="3"/>
  <c r="CL11" i="3"/>
  <c r="CM11" i="3"/>
  <c r="CN11" i="3"/>
  <c r="CO11" i="3"/>
  <c r="CP11" i="3" s="1"/>
  <c r="DT11" i="3" s="1"/>
  <c r="CH12" i="3"/>
  <c r="CI12" i="3"/>
  <c r="CJ12" i="3"/>
  <c r="DN12" i="3" s="1"/>
  <c r="CK12" i="3"/>
  <c r="CL12" i="3"/>
  <c r="CM12" i="3"/>
  <c r="CN12" i="3"/>
  <c r="CO12" i="3"/>
  <c r="CP12" i="3"/>
  <c r="DT12" i="3" s="1"/>
  <c r="CQ12" i="3"/>
  <c r="CR12" i="3"/>
  <c r="DV12" i="3" s="1"/>
  <c r="CS12" i="3"/>
  <c r="CT12" i="3"/>
  <c r="CV12" i="3"/>
  <c r="CW12" i="3"/>
  <c r="CI14" i="3"/>
  <c r="CJ14" i="3"/>
  <c r="DN14" i="3" s="1"/>
  <c r="CK14" i="3"/>
  <c r="CL14" i="3"/>
  <c r="CM14" i="3"/>
  <c r="CN14" i="3"/>
  <c r="CO14" i="3"/>
  <c r="CP14" i="3"/>
  <c r="CB16" i="3"/>
  <c r="Z25" i="3"/>
  <c r="B25" i="3"/>
  <c r="AX25" i="3"/>
  <c r="AX26" i="3" s="1"/>
  <c r="CC16" i="3"/>
  <c r="CI16" i="3"/>
  <c r="CJ16" i="3"/>
  <c r="CK16" i="3"/>
  <c r="CL16" i="3"/>
  <c r="DP16" i="3" s="1"/>
  <c r="CM16" i="3"/>
  <c r="CN16" i="3"/>
  <c r="CP16" i="3"/>
  <c r="CR16" i="3"/>
  <c r="CS16" i="3"/>
  <c r="DW16" i="3" s="1"/>
  <c r="CT16" i="3"/>
  <c r="CU16" i="3"/>
  <c r="DY16" i="3" s="1"/>
  <c r="CV16" i="3"/>
  <c r="CD19" i="3"/>
  <c r="CE19" i="3"/>
  <c r="CF19" i="3"/>
  <c r="CG19" i="3"/>
  <c r="CH19" i="3"/>
  <c r="DL19" i="3" s="1"/>
  <c r="CI19" i="3"/>
  <c r="CJ19" i="3"/>
  <c r="DN19" i="3" s="1"/>
  <c r="CK19" i="3"/>
  <c r="CL19" i="3"/>
  <c r="CM19" i="3"/>
  <c r="CN19" i="3"/>
  <c r="CO19" i="3"/>
  <c r="CR19" i="3"/>
  <c r="DV19" i="3" s="1"/>
  <c r="CS19" i="3"/>
  <c r="CU19" i="3"/>
  <c r="DY19" i="3" s="1"/>
  <c r="CD20" i="3"/>
  <c r="CE20" i="3"/>
  <c r="CF20" i="3"/>
  <c r="CI20" i="3"/>
  <c r="CJ20" i="3"/>
  <c r="CK20" i="3"/>
  <c r="DO20" i="3" s="1"/>
  <c r="CL20" i="3"/>
  <c r="CM20" i="3"/>
  <c r="CU20" i="3"/>
  <c r="AA25" i="3"/>
  <c r="C25" i="3"/>
  <c r="AB25" i="3"/>
  <c r="D25" i="3"/>
  <c r="AC25" i="3"/>
  <c r="BA25" i="3"/>
  <c r="E25" i="3"/>
  <c r="AD25" i="3"/>
  <c r="F25" i="3"/>
  <c r="AE25" i="3"/>
  <c r="G25" i="3"/>
  <c r="AF25" i="3"/>
  <c r="BD25" i="3" s="1"/>
  <c r="H25" i="3"/>
  <c r="AG25" i="3"/>
  <c r="I25" i="3"/>
  <c r="AH25" i="3"/>
  <c r="BF25" i="3" s="1"/>
  <c r="J25" i="3"/>
  <c r="AI25" i="3"/>
  <c r="K25" i="3"/>
  <c r="BG25" i="3" s="1"/>
  <c r="AJ25" i="3"/>
  <c r="BH25" i="3"/>
  <c r="L25" i="3"/>
  <c r="AK25" i="3"/>
  <c r="M25" i="3"/>
  <c r="BI25" i="3"/>
  <c r="BI26" i="3" s="1"/>
  <c r="AL25" i="3"/>
  <c r="N25" i="3"/>
  <c r="AM25" i="3"/>
  <c r="BK25" i="3" s="1"/>
  <c r="O25" i="3"/>
  <c r="AN25" i="3"/>
  <c r="BL25" i="3"/>
  <c r="P25" i="3"/>
  <c r="AO25" i="3"/>
  <c r="BM25" i="3" s="1"/>
  <c r="Q25" i="3"/>
  <c r="AP25" i="3"/>
  <c r="BN25" i="3" s="1"/>
  <c r="R25" i="3"/>
  <c r="AU25" i="3"/>
  <c r="W25" i="3"/>
  <c r="AV25" i="3"/>
  <c r="X25" i="3"/>
  <c r="AW25" i="3"/>
  <c r="BU25" i="3"/>
  <c r="Y25" i="3"/>
  <c r="AQ25" i="3"/>
  <c r="S25" i="3"/>
  <c r="AR25" i="3"/>
  <c r="T25" i="3"/>
  <c r="AS25" i="3"/>
  <c r="BQ25" i="3" s="1"/>
  <c r="U25" i="3"/>
  <c r="AT25" i="3"/>
  <c r="BR25" i="3"/>
  <c r="V25" i="3"/>
  <c r="CS21" i="3"/>
  <c r="CT21" i="3"/>
  <c r="CU21" i="3"/>
  <c r="CV21" i="3"/>
  <c r="CS22" i="3"/>
  <c r="CT22" i="3"/>
  <c r="CU22" i="3"/>
  <c r="CV22" i="3"/>
  <c r="I4" i="7"/>
  <c r="L4" i="7"/>
  <c r="N4" i="7"/>
  <c r="O4" i="7"/>
  <c r="F4" i="7"/>
  <c r="G4" i="7"/>
  <c r="H4" i="7"/>
  <c r="J4" i="7"/>
  <c r="K4" i="7"/>
  <c r="M4" i="7"/>
  <c r="E5" i="7"/>
  <c r="F5" i="7"/>
  <c r="G5" i="7" s="1"/>
  <c r="H5" i="7"/>
  <c r="I5" i="7" s="1"/>
  <c r="J5" i="7" s="1"/>
  <c r="K5" i="7" s="1"/>
  <c r="L5" i="7" s="1"/>
  <c r="M5" i="7" s="1"/>
  <c r="A12" i="7"/>
  <c r="A13" i="7"/>
  <c r="A14" i="7"/>
  <c r="A15" i="7"/>
  <c r="A16" i="7"/>
  <c r="A17" i="7"/>
  <c r="A18" i="7"/>
  <c r="A19" i="7"/>
  <c r="EE7" i="4"/>
  <c r="EE8" i="4" s="1"/>
  <c r="DD14" i="4"/>
  <c r="DD9" i="4"/>
  <c r="DD11" i="4"/>
  <c r="DD12" i="4"/>
  <c r="DD5" i="4"/>
  <c r="DD6" i="4"/>
  <c r="DD7" i="4"/>
  <c r="DD8" i="4"/>
  <c r="DD10" i="4"/>
  <c r="DD13" i="4"/>
  <c r="DD15" i="4"/>
  <c r="DD16" i="4"/>
  <c r="DD17" i="4"/>
  <c r="DD18" i="4"/>
  <c r="DD19" i="4"/>
  <c r="DD20" i="4"/>
  <c r="DD21" i="4"/>
  <c r="DD22" i="4"/>
  <c r="DX4" i="4"/>
  <c r="DX5" i="4"/>
  <c r="DX6" i="4"/>
  <c r="DX7" i="4"/>
  <c r="DX8" i="4"/>
  <c r="DX9" i="4"/>
  <c r="DX10" i="4"/>
  <c r="DX11" i="4"/>
  <c r="DX12" i="4"/>
  <c r="DX13" i="4"/>
  <c r="DX14" i="4"/>
  <c r="DX15" i="4"/>
  <c r="DX16" i="4"/>
  <c r="DX17" i="4"/>
  <c r="DX18" i="4"/>
  <c r="DX19" i="4"/>
  <c r="FP6" i="4"/>
  <c r="FP7" i="4" s="1"/>
  <c r="FP8" i="4" s="1"/>
  <c r="FP9" i="4" s="1"/>
  <c r="FP10" i="4" s="1"/>
  <c r="FP11" i="4" s="1"/>
  <c r="FP12" i="4" s="1"/>
  <c r="FP13" i="4" s="1"/>
  <c r="FP14" i="4" s="1"/>
  <c r="FP15" i="4" s="1"/>
  <c r="FP16" i="4" s="1"/>
  <c r="FP17" i="4" s="1"/>
  <c r="FP18" i="4" s="1"/>
  <c r="FP19" i="4" s="1"/>
  <c r="CQ16" i="4"/>
  <c r="CQ20" i="4"/>
  <c r="CQ18" i="4"/>
  <c r="CQ17" i="4"/>
  <c r="CQ6" i="4"/>
  <c r="CQ7" i="4"/>
  <c r="CX7" i="4"/>
  <c r="CX8" i="4" s="1"/>
  <c r="CX9" i="4" s="1"/>
  <c r="CX10" i="4" s="1"/>
  <c r="CX11" i="4" s="1"/>
  <c r="CX12" i="4" s="1"/>
  <c r="CX13" i="4" s="1"/>
  <c r="CX14" i="4" s="1"/>
  <c r="CX15" i="4" s="1"/>
  <c r="CX16" i="4" s="1"/>
  <c r="CX17" i="4" s="1"/>
  <c r="CX18" i="4" s="1"/>
  <c r="CX19" i="4" s="1"/>
  <c r="CX20" i="4" s="1"/>
  <c r="CX21" i="4" s="1"/>
  <c r="CQ8" i="4"/>
  <c r="CQ9" i="4"/>
  <c r="CQ10" i="4"/>
  <c r="CQ11" i="4"/>
  <c r="CQ12" i="4"/>
  <c r="CQ13" i="4"/>
  <c r="CQ14" i="4"/>
  <c r="CQ15" i="4"/>
  <c r="CQ19" i="4"/>
  <c r="BF3" i="4"/>
  <c r="DS4" i="4"/>
  <c r="DU4" i="4" s="1"/>
  <c r="DP6" i="4"/>
  <c r="DS6" i="4" s="1"/>
  <c r="DH7" i="4"/>
  <c r="DH8" i="4" s="1"/>
  <c r="DH9" i="4" s="1"/>
  <c r="DS5" i="4"/>
  <c r="DU5" i="4" s="1"/>
  <c r="AT36" i="16"/>
  <c r="AR36" i="16"/>
  <c r="AP36" i="16"/>
  <c r="AB36" i="16"/>
  <c r="AB20" i="16" s="1"/>
  <c r="AA36" i="16"/>
  <c r="AA20" i="16" s="1"/>
  <c r="AS35" i="16"/>
  <c r="AR35" i="16"/>
  <c r="AQ35" i="16"/>
  <c r="AO35" i="16"/>
  <c r="AB35" i="16"/>
  <c r="AB21" i="16"/>
  <c r="AA35" i="16"/>
  <c r="AA21" i="16" s="1"/>
  <c r="AB34" i="16"/>
  <c r="AA34" i="16"/>
  <c r="AT33" i="16"/>
  <c r="AR33" i="16"/>
  <c r="AP33" i="16"/>
  <c r="AQ32" i="16"/>
  <c r="AR32" i="16"/>
  <c r="AS32" i="16"/>
  <c r="AL5" i="16"/>
  <c r="AB33" i="16"/>
  <c r="AA33" i="16"/>
  <c r="AO32" i="16"/>
  <c r="AB32" i="16"/>
  <c r="AA32" i="16"/>
  <c r="BB7" i="16" s="1"/>
  <c r="AE27" i="16"/>
  <c r="AD27" i="16"/>
  <c r="AC27" i="16"/>
  <c r="F11" i="16" s="1"/>
  <c r="Y27" i="16"/>
  <c r="D12" i="16" s="1"/>
  <c r="AB7" i="16" s="1"/>
  <c r="X27" i="16"/>
  <c r="W27" i="16"/>
  <c r="AE25" i="16"/>
  <c r="AD26" i="16"/>
  <c r="X26" i="16"/>
  <c r="C11" i="16" s="1"/>
  <c r="W25" i="16"/>
  <c r="X25" i="16"/>
  <c r="E11" i="16" s="1"/>
  <c r="V8" i="16" s="1"/>
  <c r="Y25" i="16"/>
  <c r="AD25" i="16"/>
  <c r="E12" i="16" s="1"/>
  <c r="AB8" i="16" s="1"/>
  <c r="AC25" i="16"/>
  <c r="AB18" i="16"/>
  <c r="AB19" i="16" s="1"/>
  <c r="AA18" i="16"/>
  <c r="AA19" i="16" s="1"/>
  <c r="AB17" i="16"/>
  <c r="AA17" i="16"/>
  <c r="AM16" i="16"/>
  <c r="AL16" i="16"/>
  <c r="AL14" i="16"/>
  <c r="AM14" i="16"/>
  <c r="AM13" i="16"/>
  <c r="AL13" i="16"/>
  <c r="CE19" i="4"/>
  <c r="CE20" i="4" s="1"/>
  <c r="CE21" i="4" s="1"/>
  <c r="CE22" i="4" s="1"/>
  <c r="CE23" i="4" s="1"/>
  <c r="CE24" i="4" s="1"/>
  <c r="CE25" i="4" s="1"/>
  <c r="CE26" i="4" s="1"/>
  <c r="CE27" i="4" s="1"/>
  <c r="CE28" i="4" s="1"/>
  <c r="CE29" i="4" s="1"/>
  <c r="CE30" i="4" s="1"/>
  <c r="CE31" i="4" s="1"/>
  <c r="CE32" i="4" s="1"/>
  <c r="CF15" i="4"/>
  <c r="CF16" i="4" s="1"/>
  <c r="CF17" i="4" s="1"/>
  <c r="CF18" i="4" s="1"/>
  <c r="CF19" i="4" s="1"/>
  <c r="CF20" i="4" s="1"/>
  <c r="CF21" i="4" s="1"/>
  <c r="CF22" i="4" s="1"/>
  <c r="CF23" i="4" s="1"/>
  <c r="CF24" i="4" s="1"/>
  <c r="CF25" i="4" s="1"/>
  <c r="CF26" i="4" s="1"/>
  <c r="CF27" i="4" s="1"/>
  <c r="CF28" i="4" s="1"/>
  <c r="CF29" i="4" s="1"/>
  <c r="CF30" i="4" s="1"/>
  <c r="CF31" i="4" s="1"/>
  <c r="CF32" i="4" s="1"/>
  <c r="AM12" i="16"/>
  <c r="AL12" i="16"/>
  <c r="AB12" i="16"/>
  <c r="V12" i="16"/>
  <c r="AM11" i="16"/>
  <c r="AL11" i="16"/>
  <c r="AM10" i="16"/>
  <c r="AL10" i="16"/>
  <c r="AM9" i="16"/>
  <c r="AL9" i="16"/>
  <c r="AM8" i="16"/>
  <c r="AL8" i="16"/>
  <c r="C8" i="16"/>
  <c r="AM7" i="16"/>
  <c r="AL7" i="16"/>
  <c r="R10" i="16"/>
  <c r="P10" i="16"/>
  <c r="AM6" i="16"/>
  <c r="AL6" i="16"/>
  <c r="AM5" i="16"/>
  <c r="FQ6" i="4"/>
  <c r="FQ7" i="4" s="1"/>
  <c r="FQ8" i="4" s="1"/>
  <c r="FQ9" i="4" s="1"/>
  <c r="FQ10" i="4" s="1"/>
  <c r="FQ11" i="4" s="1"/>
  <c r="FQ12" i="4" s="1"/>
  <c r="FQ13" i="4" s="1"/>
  <c r="FQ14" i="4" s="1"/>
  <c r="FQ15" i="4" s="1"/>
  <c r="FQ16" i="4" s="1"/>
  <c r="FQ17" i="4" s="1"/>
  <c r="FQ18" i="4" s="1"/>
  <c r="FQ19" i="4" s="1"/>
  <c r="FT5" i="4"/>
  <c r="FT6" i="4" s="1"/>
  <c r="FT7" i="4" s="1"/>
  <c r="FT8" i="4" s="1"/>
  <c r="FT9" i="4" s="1"/>
  <c r="FT10" i="4" s="1"/>
  <c r="FT11" i="4" s="1"/>
  <c r="FT12" i="4" s="1"/>
  <c r="AD1" i="16"/>
  <c r="X1" i="16"/>
  <c r="BH7" i="4"/>
  <c r="BH8" i="4" s="1"/>
  <c r="BF2" i="4"/>
  <c r="BF4" i="4"/>
  <c r="BF5" i="4"/>
  <c r="BI6" i="4"/>
  <c r="BF12" i="4"/>
  <c r="BF11" i="4" s="1"/>
  <c r="BF10" i="4" s="1"/>
  <c r="BF9" i="4" s="1"/>
  <c r="BF8" i="4" s="1"/>
  <c r="BE18" i="4"/>
  <c r="BF18" i="4" s="1"/>
  <c r="BF17" i="4" s="1"/>
  <c r="BE19" i="4"/>
  <c r="BF19" i="4" s="1"/>
  <c r="BE20" i="4"/>
  <c r="BF20" i="4" s="1"/>
  <c r="BE21" i="4"/>
  <c r="BF21" i="4" s="1"/>
  <c r="BE22" i="4"/>
  <c r="BF22" i="4" s="1"/>
  <c r="BE23" i="4"/>
  <c r="BF23" i="4" s="1"/>
  <c r="BE24" i="4"/>
  <c r="BF24" i="4" s="1"/>
  <c r="BE25" i="4"/>
  <c r="BF25" i="4" s="1"/>
  <c r="BE26" i="4"/>
  <c r="BF26" i="4" s="1"/>
  <c r="BE27" i="4"/>
  <c r="BF27" i="4" s="1"/>
  <c r="BE28" i="4"/>
  <c r="BF28" i="4" s="1"/>
  <c r="BE29" i="4"/>
  <c r="BF29" i="4" s="1"/>
  <c r="BE30" i="4"/>
  <c r="BF30" i="4" s="1"/>
  <c r="BE31" i="4"/>
  <c r="BF31" i="4" s="1"/>
  <c r="BE32" i="4"/>
  <c r="BF32" i="4" s="1"/>
  <c r="BE33" i="4"/>
  <c r="BF33" i="4" s="1"/>
  <c r="BF35" i="4"/>
  <c r="BF36" i="4" s="1"/>
  <c r="BF37" i="4" s="1"/>
  <c r="BF38" i="4" s="1"/>
  <c r="BF39" i="4" s="1"/>
  <c r="BF40" i="4" s="1"/>
  <c r="BF41" i="4" s="1"/>
  <c r="BF42" i="4" s="1"/>
  <c r="BF43" i="4" s="1"/>
  <c r="BF44" i="4" s="1"/>
  <c r="BF45" i="4" s="1"/>
  <c r="BF46" i="4" s="1"/>
  <c r="BF47" i="4" s="1"/>
  <c r="BF48" i="4" s="1"/>
  <c r="BF49" i="4" s="1"/>
  <c r="BB43" i="4"/>
  <c r="BB44" i="4" s="1"/>
  <c r="BB45" i="4" s="1"/>
  <c r="BB46" i="4" s="1"/>
  <c r="BB47" i="4" s="1"/>
  <c r="BB48" i="4" s="1"/>
  <c r="BB49" i="4" s="1"/>
  <c r="R4" i="4"/>
  <c r="R5" i="4"/>
  <c r="R6" i="4"/>
  <c r="R7" i="4"/>
  <c r="R8" i="4"/>
  <c r="R9" i="4"/>
  <c r="R10" i="4"/>
  <c r="R11" i="4"/>
  <c r="R12" i="4"/>
  <c r="R13" i="4"/>
  <c r="R14" i="4"/>
  <c r="R15" i="4"/>
  <c r="R3" i="4"/>
  <c r="R16" i="4"/>
  <c r="R28" i="4"/>
  <c r="R29" i="4" s="1"/>
  <c r="BE34" i="4"/>
  <c r="BE35" i="4"/>
  <c r="BE36" i="4"/>
  <c r="BE37" i="4"/>
  <c r="BE38" i="4"/>
  <c r="BE39" i="4"/>
  <c r="BE40" i="4"/>
  <c r="BE41" i="4"/>
  <c r="BE42" i="4"/>
  <c r="BF15" i="4"/>
  <c r="BE16" i="4"/>
  <c r="FQ4" i="4"/>
  <c r="BE14" i="4"/>
  <c r="BE13" i="4"/>
  <c r="ET4" i="4"/>
  <c r="EU4" i="4"/>
  <c r="EV4" i="4"/>
  <c r="ET5" i="4"/>
  <c r="EU5" i="4"/>
  <c r="EV5" i="4"/>
  <c r="ET6" i="4"/>
  <c r="EU6" i="4"/>
  <c r="EV6" i="4"/>
  <c r="ET7" i="4"/>
  <c r="EU7" i="4"/>
  <c r="EV7" i="4"/>
  <c r="ET8" i="4"/>
  <c r="EU8" i="4"/>
  <c r="EV8" i="4"/>
  <c r="ES5" i="4"/>
  <c r="ES6" i="4"/>
  <c r="ES7" i="4"/>
  <c r="ES8" i="4"/>
  <c r="ES4" i="4"/>
  <c r="DF6" i="3"/>
  <c r="DG9" i="3"/>
  <c r="DG10" i="3"/>
  <c r="DG11" i="3"/>
  <c r="DG12" i="3"/>
  <c r="DG14" i="3"/>
  <c r="DG16" i="3"/>
  <c r="DG19" i="3"/>
  <c r="DG20" i="3"/>
  <c r="DF9" i="3"/>
  <c r="DH9" i="3"/>
  <c r="DI9" i="3"/>
  <c r="DJ9" i="3"/>
  <c r="DL9" i="3"/>
  <c r="DN9" i="3"/>
  <c r="DO9" i="3"/>
  <c r="DP9" i="3"/>
  <c r="DQ9" i="3"/>
  <c r="DR9" i="3"/>
  <c r="DT9" i="3"/>
  <c r="DU9" i="3"/>
  <c r="DW9" i="3"/>
  <c r="DX9" i="3"/>
  <c r="DY9" i="3"/>
  <c r="DZ9" i="3"/>
  <c r="EA9" i="3"/>
  <c r="EB9" i="3"/>
  <c r="EC9" i="3"/>
  <c r="DF10" i="3"/>
  <c r="DH10" i="3"/>
  <c r="DI10" i="3"/>
  <c r="DJ10" i="3"/>
  <c r="DL10" i="3"/>
  <c r="DN10" i="3"/>
  <c r="DO10" i="3"/>
  <c r="DP10" i="3"/>
  <c r="DQ10" i="3"/>
  <c r="DF11" i="3"/>
  <c r="DH11" i="3"/>
  <c r="DI11" i="3"/>
  <c r="DJ11" i="3"/>
  <c r="DK11" i="3"/>
  <c r="DL11" i="3"/>
  <c r="DM11" i="3"/>
  <c r="DN11" i="3"/>
  <c r="DP11" i="3"/>
  <c r="DQ11" i="3"/>
  <c r="DR11" i="3"/>
  <c r="DS11" i="3"/>
  <c r="DF12" i="3"/>
  <c r="DH12" i="3"/>
  <c r="DI12" i="3"/>
  <c r="DJ12" i="3"/>
  <c r="DK12" i="3"/>
  <c r="DM12" i="3"/>
  <c r="DO12" i="3"/>
  <c r="DP12" i="3"/>
  <c r="DQ12" i="3"/>
  <c r="DR12" i="3"/>
  <c r="DS12" i="3"/>
  <c r="DU12" i="3"/>
  <c r="DW12" i="3"/>
  <c r="DX12" i="3"/>
  <c r="DY12" i="3"/>
  <c r="DZ12" i="3"/>
  <c r="EA12" i="3"/>
  <c r="EB12" i="3"/>
  <c r="EC12" i="3"/>
  <c r="DF14" i="3"/>
  <c r="DH14" i="3"/>
  <c r="DI14" i="3"/>
  <c r="DJ14" i="3"/>
  <c r="DK14" i="3"/>
  <c r="DL14" i="3"/>
  <c r="DM14" i="3"/>
  <c r="DO14" i="3"/>
  <c r="DP14" i="3"/>
  <c r="DQ14" i="3"/>
  <c r="DR14" i="3"/>
  <c r="DS14" i="3"/>
  <c r="DT14" i="3"/>
  <c r="DF16" i="3"/>
  <c r="DH16" i="3"/>
  <c r="DI16" i="3"/>
  <c r="DJ16" i="3"/>
  <c r="DK16" i="3"/>
  <c r="DL16" i="3"/>
  <c r="DM16" i="3"/>
  <c r="DO16" i="3"/>
  <c r="DQ16" i="3"/>
  <c r="DR16" i="3"/>
  <c r="DS16" i="3"/>
  <c r="DT16" i="3"/>
  <c r="DU16" i="3"/>
  <c r="DV16" i="3"/>
  <c r="DX16" i="3"/>
  <c r="DZ16" i="3"/>
  <c r="EA16" i="3"/>
  <c r="EB16" i="3"/>
  <c r="EC16" i="3"/>
  <c r="DF19" i="3"/>
  <c r="DH19" i="3"/>
  <c r="DI19" i="3"/>
  <c r="DJ19" i="3"/>
  <c r="DK19" i="3"/>
  <c r="DM19" i="3"/>
  <c r="DO19" i="3"/>
  <c r="DP19" i="3"/>
  <c r="DQ19" i="3"/>
  <c r="DR19" i="3"/>
  <c r="DS19" i="3"/>
  <c r="DT19" i="3"/>
  <c r="DU19" i="3"/>
  <c r="DW19" i="3"/>
  <c r="DX19" i="3"/>
  <c r="DZ19" i="3"/>
  <c r="EA19" i="3"/>
  <c r="EB19" i="3"/>
  <c r="EC19" i="3"/>
  <c r="DF20" i="3"/>
  <c r="DH20" i="3"/>
  <c r="DI20" i="3"/>
  <c r="DJ20" i="3"/>
  <c r="DK20" i="3"/>
  <c r="DL20" i="3"/>
  <c r="DM20" i="3"/>
  <c r="DN20" i="3"/>
  <c r="DP20" i="3"/>
  <c r="DY20" i="3"/>
  <c r="DZ20" i="3"/>
  <c r="EA20" i="3"/>
  <c r="EB20" i="3"/>
  <c r="EC20" i="3"/>
  <c r="DC9" i="3"/>
  <c r="EE9" i="3" s="1"/>
  <c r="BW49" i="3"/>
  <c r="BV49" i="3"/>
  <c r="DC10" i="3"/>
  <c r="EE10" i="3"/>
  <c r="DC11" i="3"/>
  <c r="EE11" i="3" s="1"/>
  <c r="DC12" i="3"/>
  <c r="EE12" i="3" s="1"/>
  <c r="DC13" i="3"/>
  <c r="EE13" i="3" s="1"/>
  <c r="DC14" i="3"/>
  <c r="EE14" i="3"/>
  <c r="DC15" i="3"/>
  <c r="EE15" i="3" s="1"/>
  <c r="DC16" i="3"/>
  <c r="EE16" i="3" s="1"/>
  <c r="DC17" i="3"/>
  <c r="EE17" i="3" s="1"/>
  <c r="DC18" i="3"/>
  <c r="EE18" i="3"/>
  <c r="DC19" i="3"/>
  <c r="EE19" i="3" s="1"/>
  <c r="DC20" i="3"/>
  <c r="EE20" i="3" s="1"/>
  <c r="BW25" i="3"/>
  <c r="BV25" i="3"/>
  <c r="BX52" i="3"/>
  <c r="DA52" i="3"/>
  <c r="AV49" i="3"/>
  <c r="BT49" i="3"/>
  <c r="X49" i="3"/>
  <c r="AM49" i="3"/>
  <c r="BK49" i="3" s="1"/>
  <c r="CO49" i="3" s="1"/>
  <c r="O49" i="3"/>
  <c r="AN49" i="3"/>
  <c r="P49" i="3"/>
  <c r="BL49" i="3"/>
  <c r="AE49" i="3"/>
  <c r="BC49" i="3" s="1"/>
  <c r="CG49" i="3" s="1"/>
  <c r="G49" i="3"/>
  <c r="AQ49" i="3"/>
  <c r="S49" i="3"/>
  <c r="BO49" i="3"/>
  <c r="AP49" i="3"/>
  <c r="BN49" i="3" s="1"/>
  <c r="R49" i="3"/>
  <c r="AI49" i="3"/>
  <c r="K49" i="3"/>
  <c r="AG49" i="3"/>
  <c r="I49" i="3"/>
  <c r="BE49" i="3" s="1"/>
  <c r="AW49" i="3"/>
  <c r="Y49" i="3"/>
  <c r="AU49" i="3"/>
  <c r="BS49" i="3" s="1"/>
  <c r="W49" i="3"/>
  <c r="AT49" i="3"/>
  <c r="BR49" i="3"/>
  <c r="V49" i="3"/>
  <c r="AS49" i="3"/>
  <c r="BQ49" i="3" s="1"/>
  <c r="U49" i="3"/>
  <c r="AR49" i="3"/>
  <c r="BP49" i="3" s="1"/>
  <c r="BP50" i="3" s="1"/>
  <c r="T50" i="3" s="1"/>
  <c r="T49" i="3"/>
  <c r="AO49" i="3"/>
  <c r="Q49" i="3"/>
  <c r="BM49" i="3" s="1"/>
  <c r="BM50" i="3" s="1"/>
  <c r="Q50" i="3" s="1"/>
  <c r="Q51" i="3" s="1"/>
  <c r="Q52" i="3" s="1"/>
  <c r="BM52" i="3" s="1"/>
  <c r="AL49" i="3"/>
  <c r="BJ49" i="3" s="1"/>
  <c r="N49" i="3"/>
  <c r="AK49" i="3"/>
  <c r="M49" i="3"/>
  <c r="AJ49" i="3"/>
  <c r="L49" i="3"/>
  <c r="AH49" i="3"/>
  <c r="J49" i="3"/>
  <c r="AF49" i="3"/>
  <c r="H49" i="3"/>
  <c r="AD49" i="3"/>
  <c r="BB49" i="3"/>
  <c r="F49" i="3"/>
  <c r="AC49" i="3"/>
  <c r="BA49" i="3" s="1"/>
  <c r="BA50" i="3" s="1"/>
  <c r="CE50" i="3" s="1"/>
  <c r="E49" i="3"/>
  <c r="AB49" i="3"/>
  <c r="D49" i="3"/>
  <c r="AA49" i="3"/>
  <c r="C49" i="3"/>
  <c r="Z49" i="3"/>
  <c r="B49" i="3"/>
  <c r="DB13" i="3"/>
  <c r="DB19" i="3"/>
  <c r="EB28" i="3"/>
  <c r="EA28" i="3"/>
  <c r="DG28" i="3"/>
  <c r="DF28" i="3"/>
  <c r="EB26" i="3"/>
  <c r="EA26" i="3"/>
  <c r="DG26" i="3"/>
  <c r="DF26" i="3"/>
  <c r="DG25" i="3"/>
  <c r="DF25" i="3"/>
  <c r="DA14" i="3"/>
  <c r="DA12" i="3"/>
  <c r="DA11" i="3"/>
  <c r="DA10" i="3"/>
  <c r="DA20" i="3"/>
  <c r="DA19" i="3"/>
  <c r="DA16" i="3"/>
  <c r="DA9" i="3"/>
  <c r="CH6" i="4"/>
  <c r="CH7" i="4"/>
  <c r="CH8" i="4"/>
  <c r="CH9" i="4"/>
  <c r="CN5" i="4"/>
  <c r="CN6" i="4"/>
  <c r="CN7" i="4"/>
  <c r="CN8" i="4"/>
  <c r="CN9" i="4"/>
  <c r="CO9" i="4"/>
  <c r="CO10" i="4" s="1"/>
  <c r="CO11" i="4" s="1"/>
  <c r="CO12" i="4" s="1"/>
  <c r="CO13" i="4" s="1"/>
  <c r="CO14" i="4" s="1"/>
  <c r="CO15" i="4" s="1"/>
  <c r="CO16" i="4" s="1"/>
  <c r="CO17" i="4" s="1"/>
  <c r="CO18" i="4" s="1"/>
  <c r="CO19" i="4" s="1"/>
  <c r="CH10" i="4"/>
  <c r="CN10" i="4"/>
  <c r="CH11" i="4"/>
  <c r="CN11" i="4"/>
  <c r="CH12" i="4"/>
  <c r="CN12" i="4"/>
  <c r="CH13" i="4"/>
  <c r="CN13" i="4"/>
  <c r="CH14" i="4"/>
  <c r="CN14" i="4"/>
  <c r="CH15" i="4"/>
  <c r="CN15" i="4"/>
  <c r="CH16" i="4"/>
  <c r="CN16" i="4"/>
  <c r="CH17" i="4"/>
  <c r="CN17" i="4"/>
  <c r="CH18" i="4"/>
  <c r="CN18" i="4"/>
  <c r="CN19" i="4"/>
  <c r="CF13" i="4"/>
  <c r="CF12" i="4" s="1"/>
  <c r="CF11" i="4" s="1"/>
  <c r="CF10" i="4" s="1"/>
  <c r="CF9" i="4" s="1"/>
  <c r="CF8" i="4" s="1"/>
  <c r="CF7" i="4" s="1"/>
  <c r="CF6" i="4" s="1"/>
  <c r="CF5" i="4" s="1"/>
  <c r="CC6" i="4"/>
  <c r="CC7" i="4"/>
  <c r="CC8" i="4"/>
  <c r="CC9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5" i="4"/>
  <c r="CE11" i="4"/>
  <c r="CE10" i="4" s="1"/>
  <c r="CE9" i="4" s="1"/>
  <c r="CE8" i="4" s="1"/>
  <c r="CE7" i="4" s="1"/>
  <c r="CE6" i="4" s="1"/>
  <c r="CE5" i="4" s="1"/>
  <c r="DF27" i="3"/>
  <c r="DG27" i="3"/>
  <c r="DG29" i="3" s="1"/>
  <c r="DW27" i="3"/>
  <c r="DX27" i="3"/>
  <c r="DY27" i="3"/>
  <c r="CP25" i="3"/>
  <c r="DV25" i="3"/>
  <c r="BL26" i="3"/>
  <c r="CU25" i="3"/>
  <c r="EA25" i="3"/>
  <c r="BQ26" i="3"/>
  <c r="U26" i="3" s="1"/>
  <c r="U27" i="3" s="1"/>
  <c r="U28" i="3" s="1"/>
  <c r="BB50" i="3"/>
  <c r="CF49" i="3"/>
  <c r="BO50" i="3"/>
  <c r="S50" i="3"/>
  <c r="CS49" i="3"/>
  <c r="BH9" i="4"/>
  <c r="BH10" i="4" s="1"/>
  <c r="CO25" i="3"/>
  <c r="DU25" i="3"/>
  <c r="BK26" i="3"/>
  <c r="BU26" i="3"/>
  <c r="CY25" i="3"/>
  <c r="BF26" i="3"/>
  <c r="CJ25" i="3"/>
  <c r="DP25" i="3"/>
  <c r="W13" i="16"/>
  <c r="W11" i="16" s="1"/>
  <c r="CN20" i="3"/>
  <c r="DQ20" i="3"/>
  <c r="BC25" i="3"/>
  <c r="BX49" i="3"/>
  <c r="CZ19" i="3"/>
  <c r="BT25" i="3"/>
  <c r="CX25" i="3" s="1"/>
  <c r="BE25" i="3"/>
  <c r="AY25" i="3"/>
  <c r="CT49" i="3"/>
  <c r="AY49" i="3"/>
  <c r="CC49" i="3" s="1"/>
  <c r="BI49" i="3"/>
  <c r="CB25" i="3"/>
  <c r="DH25" i="3"/>
  <c r="BS25" i="3"/>
  <c r="AZ49" i="3"/>
  <c r="BD49" i="3"/>
  <c r="BD50" i="3"/>
  <c r="BU49" i="3"/>
  <c r="CY49" i="3" s="1"/>
  <c r="BK50" i="3"/>
  <c r="CO50" i="3" s="1"/>
  <c r="CO51" i="3" s="1"/>
  <c r="BX25" i="3"/>
  <c r="DA25" i="3" s="1"/>
  <c r="CM25" i="3"/>
  <c r="DS25" i="3"/>
  <c r="DY29" i="3"/>
  <c r="BP25" i="3"/>
  <c r="DX29" i="3"/>
  <c r="DC23" i="3"/>
  <c r="EE23" i="3" s="1"/>
  <c r="DA49" i="3"/>
  <c r="BX50" i="3"/>
  <c r="DA50" i="3" s="1"/>
  <c r="DA51" i="3" s="1"/>
  <c r="CE49" i="3"/>
  <c r="AY50" i="3"/>
  <c r="CM49" i="3"/>
  <c r="BI50" i="3"/>
  <c r="CN49" i="3"/>
  <c r="BJ50" i="3"/>
  <c r="DB23" i="3"/>
  <c r="BX26" i="3"/>
  <c r="DA26" i="3" s="1"/>
  <c r="E50" i="3"/>
  <c r="E51" i="3"/>
  <c r="E52" i="3" s="1"/>
  <c r="BA52" i="3" s="1"/>
  <c r="CE52" i="3" s="1"/>
  <c r="CE51" i="3" s="1"/>
  <c r="CQ49" i="3"/>
  <c r="BT50" i="3"/>
  <c r="CX49" i="3"/>
  <c r="BS50" i="3"/>
  <c r="CW49" i="3"/>
  <c r="BC50" i="3"/>
  <c r="AX49" i="3"/>
  <c r="CB49" i="3" s="1"/>
  <c r="T51" i="3"/>
  <c r="T52" i="3"/>
  <c r="BP52" i="3" s="1"/>
  <c r="CP49" i="3"/>
  <c r="BL50" i="3"/>
  <c r="BH49" i="3"/>
  <c r="BG49" i="3"/>
  <c r="BR26" i="3"/>
  <c r="V26" i="3" s="1"/>
  <c r="V27" i="3" s="1"/>
  <c r="V28" i="3" s="1"/>
  <c r="CV25" i="3"/>
  <c r="EB25" i="3"/>
  <c r="BM26" i="3"/>
  <c r="CQ25" i="3"/>
  <c r="DW25" i="3"/>
  <c r="CL25" i="3"/>
  <c r="DR25" i="3"/>
  <c r="BH26" i="3"/>
  <c r="BT26" i="3"/>
  <c r="X26" i="3" s="1"/>
  <c r="X27" i="3" s="1"/>
  <c r="X28" i="3" s="1"/>
  <c r="BT28" i="3" s="1"/>
  <c r="CX28" i="3" s="1"/>
  <c r="CX21" i="3" s="1"/>
  <c r="M26" i="3"/>
  <c r="CM26" i="3"/>
  <c r="Y26" i="3"/>
  <c r="Y27" i="3" s="1"/>
  <c r="Y28" i="3" s="1"/>
  <c r="BU28" i="3" s="1"/>
  <c r="CY28" i="3" s="1"/>
  <c r="CY26" i="3"/>
  <c r="CT25" i="3"/>
  <c r="DZ25" i="3" s="1"/>
  <c r="BP26" i="3"/>
  <c r="T26" i="3" s="1"/>
  <c r="CB26" i="3"/>
  <c r="B26" i="3"/>
  <c r="B27" i="3"/>
  <c r="B28" i="3"/>
  <c r="BS26" i="3"/>
  <c r="CW25" i="3"/>
  <c r="EC25" i="3" s="1"/>
  <c r="CQ11" i="3"/>
  <c r="CN10" i="3"/>
  <c r="BO25" i="3"/>
  <c r="CQ14" i="3"/>
  <c r="BJ25" i="3"/>
  <c r="CN25" i="3" s="1"/>
  <c r="DT25" i="3" s="1"/>
  <c r="BB25" i="3"/>
  <c r="BU50" i="3"/>
  <c r="CD49" i="3"/>
  <c r="AZ50" i="3"/>
  <c r="D50" i="3" s="1"/>
  <c r="D51" i="3" s="1"/>
  <c r="D52" i="3" s="1"/>
  <c r="CH49" i="3"/>
  <c r="CF50" i="3"/>
  <c r="CF51" i="3" s="1"/>
  <c r="F50" i="3"/>
  <c r="F51" i="3"/>
  <c r="F52" i="3" s="1"/>
  <c r="BB52" i="3" s="1"/>
  <c r="CF52" i="3" s="1"/>
  <c r="CU27" i="3"/>
  <c r="BQ28" i="3"/>
  <c r="CP26" i="3"/>
  <c r="P26" i="3"/>
  <c r="P27" i="3" s="1"/>
  <c r="P28" i="3" s="1"/>
  <c r="BL28" i="3" s="1"/>
  <c r="CP28" i="3" s="1"/>
  <c r="O50" i="3"/>
  <c r="O51" i="3" s="1"/>
  <c r="O52" i="3" s="1"/>
  <c r="BK52" i="3" s="1"/>
  <c r="CO52" i="3" s="1"/>
  <c r="AY26" i="3"/>
  <c r="CC25" i="3"/>
  <c r="DI25" i="3" s="1"/>
  <c r="CP50" i="3"/>
  <c r="CP51" i="3" s="1"/>
  <c r="P50" i="3"/>
  <c r="P51" i="3"/>
  <c r="P52" i="3" s="1"/>
  <c r="BL52" i="3" s="1"/>
  <c r="CP52" i="3" s="1"/>
  <c r="X50" i="3"/>
  <c r="X51" i="3" s="1"/>
  <c r="X52" i="3"/>
  <c r="BT52" i="3" s="1"/>
  <c r="CX52" i="3" s="1"/>
  <c r="CX51" i="3" s="1"/>
  <c r="CX50" i="3"/>
  <c r="CR14" i="3"/>
  <c r="DU14" i="3"/>
  <c r="AA22" i="16"/>
  <c r="V10" i="16"/>
  <c r="CC50" i="3"/>
  <c r="C50" i="3"/>
  <c r="C51" i="3" s="1"/>
  <c r="C52" i="3" s="1"/>
  <c r="AY52" i="3"/>
  <c r="CC52" i="3" s="1"/>
  <c r="BJ26" i="3"/>
  <c r="CQ26" i="3"/>
  <c r="CQ22" i="3" s="1"/>
  <c r="Q26" i="3"/>
  <c r="Q27" i="3" s="1"/>
  <c r="Q28" i="3" s="1"/>
  <c r="BM28" i="3" s="1"/>
  <c r="CQ28" i="3" s="1"/>
  <c r="CQ21" i="3" s="1"/>
  <c r="CY22" i="3"/>
  <c r="CX26" i="3"/>
  <c r="AX50" i="3"/>
  <c r="CW50" i="3"/>
  <c r="W50" i="3"/>
  <c r="W51" i="3"/>
  <c r="W52" i="3" s="1"/>
  <c r="BS52" i="3" s="1"/>
  <c r="CW52" i="3" s="1"/>
  <c r="CQ52" i="3"/>
  <c r="CQ50" i="3"/>
  <c r="CN50" i="3"/>
  <c r="N50" i="3"/>
  <c r="N51" i="3"/>
  <c r="N52" i="3" s="1"/>
  <c r="BJ52" i="3" s="1"/>
  <c r="CN52" i="3" s="1"/>
  <c r="CN51" i="3" s="1"/>
  <c r="CM22" i="3"/>
  <c r="DS26" i="3"/>
  <c r="CL49" i="3"/>
  <c r="BH50" i="3"/>
  <c r="L50" i="3" s="1"/>
  <c r="CH50" i="3"/>
  <c r="H50" i="3"/>
  <c r="H51" i="3"/>
  <c r="H52" i="3" s="1"/>
  <c r="BD52" i="3" s="1"/>
  <c r="CH52" i="3" s="1"/>
  <c r="CH51" i="3" s="1"/>
  <c r="CB22" i="3"/>
  <c r="DH26" i="3"/>
  <c r="AX28" i="3"/>
  <c r="DY30" i="3"/>
  <c r="Y50" i="3"/>
  <c r="Y51" i="3" s="1"/>
  <c r="Y52" i="3" s="1"/>
  <c r="BU52" i="3" s="1"/>
  <c r="CY52" i="3" s="1"/>
  <c r="CY50" i="3"/>
  <c r="CR11" i="3"/>
  <c r="DU11" i="3"/>
  <c r="CL26" i="3"/>
  <c r="CL22" i="3" s="1"/>
  <c r="L26" i="3"/>
  <c r="BB26" i="3"/>
  <c r="CF25" i="3"/>
  <c r="DL25" i="3"/>
  <c r="W26" i="3"/>
  <c r="W27" i="3" s="1"/>
  <c r="W28" i="3"/>
  <c r="BS28" i="3"/>
  <c r="CW28" i="3" s="1"/>
  <c r="CW27" i="3" s="1"/>
  <c r="CW26" i="3"/>
  <c r="BG50" i="3"/>
  <c r="K50" i="3" s="1"/>
  <c r="K51" i="3" s="1"/>
  <c r="K52" i="3" s="1"/>
  <c r="BG52" i="3" s="1"/>
  <c r="CK52" i="3" s="1"/>
  <c r="CK49" i="3"/>
  <c r="CM50" i="3"/>
  <c r="M50" i="3"/>
  <c r="M51" i="3" s="1"/>
  <c r="M52" i="3" s="1"/>
  <c r="BI52" i="3" s="1"/>
  <c r="CM52" i="3" s="1"/>
  <c r="CC51" i="3"/>
  <c r="AZ52" i="3"/>
  <c r="CD52" i="3" s="1"/>
  <c r="CD50" i="3"/>
  <c r="CQ51" i="3"/>
  <c r="DV26" i="3"/>
  <c r="CP22" i="3"/>
  <c r="C26" i="3"/>
  <c r="CC26" i="3"/>
  <c r="CS14" i="3"/>
  <c r="DV14" i="3"/>
  <c r="CS11" i="3"/>
  <c r="CT11" i="3" s="1"/>
  <c r="DX11" i="3" s="1"/>
  <c r="DV11" i="3"/>
  <c r="CW22" i="3"/>
  <c r="EC26" i="3"/>
  <c r="F26" i="3"/>
  <c r="F27" i="3"/>
  <c r="F28" i="3" s="1"/>
  <c r="BB28" i="3"/>
  <c r="CF28" i="3" s="1"/>
  <c r="CF26" i="3"/>
  <c r="CB28" i="3"/>
  <c r="DZ27" i="3"/>
  <c r="DZ29" i="3" s="1"/>
  <c r="DZ30" i="3" s="1"/>
  <c r="DR26" i="3"/>
  <c r="CK50" i="3"/>
  <c r="CB50" i="3"/>
  <c r="B50" i="3"/>
  <c r="B51" i="3" s="1"/>
  <c r="B52" i="3" s="1"/>
  <c r="AX52" i="3" s="1"/>
  <c r="CB52" i="3" s="1"/>
  <c r="CL50" i="3"/>
  <c r="L51" i="3"/>
  <c r="L52" i="3"/>
  <c r="BH52" i="3" s="1"/>
  <c r="CL52" i="3" s="1"/>
  <c r="DI26" i="3"/>
  <c r="CL51" i="3"/>
  <c r="CB21" i="3"/>
  <c r="DH28" i="3"/>
  <c r="CB27" i="3"/>
  <c r="CB31" i="3"/>
  <c r="CF21" i="3"/>
  <c r="CB51" i="3"/>
  <c r="CF22" i="3"/>
  <c r="DL26" i="3"/>
  <c r="CU11" i="3"/>
  <c r="DH27" i="3"/>
  <c r="CV11" i="3"/>
  <c r="CW11" i="3" s="1"/>
  <c r="DY11" i="3"/>
  <c r="DH29" i="3"/>
  <c r="DH30" i="3" s="1"/>
  <c r="AC13" i="16"/>
  <c r="AC11" i="16" s="1"/>
  <c r="V9" i="16"/>
  <c r="D11" i="16"/>
  <c r="V7" i="16"/>
  <c r="BG12" i="16"/>
  <c r="F12" i="16"/>
  <c r="AB9" i="16" s="1"/>
  <c r="AB13" i="16"/>
  <c r="V13" i="16"/>
  <c r="DU21" i="3"/>
  <c r="DU22" i="3" s="1"/>
  <c r="DX21" i="3"/>
  <c r="DX22" i="3" s="1"/>
  <c r="DF21" i="3"/>
  <c r="DZ21" i="3"/>
  <c r="DZ22" i="3" s="1"/>
  <c r="EB21" i="3"/>
  <c r="EB22" i="3" s="1"/>
  <c r="DJ21" i="3"/>
  <c r="DJ22" i="3" s="1"/>
  <c r="DJ31" i="3"/>
  <c r="DY21" i="3"/>
  <c r="DY22" i="3" s="1"/>
  <c r="DW21" i="3"/>
  <c r="DW22" i="3" s="1"/>
  <c r="GM4" i="4" l="1"/>
  <c r="GN4" i="4" s="1"/>
  <c r="BI10" i="4"/>
  <c r="BI8" i="4"/>
  <c r="GN3" i="4"/>
  <c r="AI9" i="4"/>
  <c r="BI7" i="4"/>
  <c r="BI9" i="4"/>
  <c r="GR3" i="4"/>
  <c r="GQ3" i="4" s="1"/>
  <c r="GT3" i="4" s="1"/>
  <c r="GU3" i="4" s="1"/>
  <c r="C12" i="16"/>
  <c r="AF2" i="16" s="1"/>
  <c r="Z2" i="16"/>
  <c r="BE12" i="16"/>
  <c r="BB11" i="16"/>
  <c r="X4" i="16"/>
  <c r="BF12" i="16"/>
  <c r="BH12" i="16"/>
  <c r="AI33" i="16"/>
  <c r="U3" i="16"/>
  <c r="X2" i="16" s="1"/>
  <c r="X3" i="16" s="1"/>
  <c r="AO36" i="16"/>
  <c r="AO33" i="16"/>
  <c r="GP14" i="4"/>
  <c r="GR13" i="4"/>
  <c r="GQ13" i="4" s="1"/>
  <c r="GT13" i="4" s="1"/>
  <c r="GU13" i="4" s="1"/>
  <c r="AH29" i="4"/>
  <c r="AH30" i="4" s="1"/>
  <c r="AI28" i="4"/>
  <c r="GR4" i="4"/>
  <c r="GQ4" i="4" s="1"/>
  <c r="GT4" i="4" s="1"/>
  <c r="GV2" i="4"/>
  <c r="GU2" i="4"/>
  <c r="BH11" i="4"/>
  <c r="GM5" i="4"/>
  <c r="GN5" i="4" s="1"/>
  <c r="AH33" i="16"/>
  <c r="AO3" i="16" s="1"/>
  <c r="AC8" i="16"/>
  <c r="W8" i="16"/>
  <c r="AD4" i="16"/>
  <c r="AO2" i="16"/>
  <c r="AP2" i="16" s="1"/>
  <c r="W7" i="16"/>
  <c r="W9" i="16" s="1"/>
  <c r="AC7" i="16"/>
  <c r="AC9" i="16" s="1"/>
  <c r="AH7" i="4"/>
  <c r="AI8" i="4"/>
  <c r="DF22" i="3"/>
  <c r="AC12" i="16"/>
  <c r="AW16" i="16"/>
  <c r="AN16" i="16" s="1"/>
  <c r="AW6" i="16"/>
  <c r="AN6" i="16" s="1"/>
  <c r="AW17" i="16"/>
  <c r="AN17" i="16" s="1"/>
  <c r="AW5" i="16"/>
  <c r="AN5" i="16" s="1"/>
  <c r="AW11" i="16"/>
  <c r="AN11" i="16" s="1"/>
  <c r="BG26" i="3"/>
  <c r="CK25" i="3"/>
  <c r="DQ25" i="3" s="1"/>
  <c r="AW13" i="16"/>
  <c r="AN13" i="16" s="1"/>
  <c r="BC5" i="16"/>
  <c r="BB5" i="16"/>
  <c r="BB9" i="16" s="1"/>
  <c r="BB13" i="16" s="1"/>
  <c r="P9" i="16" s="1"/>
  <c r="E23" i="16" s="1"/>
  <c r="E27" i="16" s="1"/>
  <c r="CR25" i="3"/>
  <c r="DX25" i="3" s="1"/>
  <c r="BN26" i="3"/>
  <c r="C27" i="3"/>
  <c r="C28" i="3" s="1"/>
  <c r="AY28" i="3" s="1"/>
  <c r="CQ27" i="3"/>
  <c r="CF27" i="3"/>
  <c r="DL28" i="3"/>
  <c r="DL27" i="3" s="1"/>
  <c r="CF31" i="3"/>
  <c r="CX11" i="3"/>
  <c r="EA11" i="3"/>
  <c r="CO10" i="3"/>
  <c r="DR10" i="3"/>
  <c r="T27" i="3"/>
  <c r="T28" i="3" s="1"/>
  <c r="BP28" i="3" s="1"/>
  <c r="DZ11" i="3"/>
  <c r="CT14" i="3"/>
  <c r="DW14" i="3"/>
  <c r="CY51" i="3"/>
  <c r="BR28" i="3"/>
  <c r="CV27" i="3"/>
  <c r="CD51" i="3"/>
  <c r="CN26" i="3"/>
  <c r="CN31" i="3" s="1"/>
  <c r="N26" i="3"/>
  <c r="N27" i="3" s="1"/>
  <c r="N28" i="3" s="1"/>
  <c r="BJ28" i="3" s="1"/>
  <c r="CN28" i="3" s="1"/>
  <c r="EH7" i="4"/>
  <c r="EK7" i="4" s="1"/>
  <c r="EG7" i="4"/>
  <c r="EH6" i="4"/>
  <c r="EK6" i="4" s="1"/>
  <c r="DK7" i="4"/>
  <c r="DN7" i="4" s="1"/>
  <c r="EG6" i="4"/>
  <c r="DK6" i="4"/>
  <c r="DN6" i="4" s="1"/>
  <c r="EH8" i="4"/>
  <c r="EK8" i="4" s="1"/>
  <c r="DJ6" i="4"/>
  <c r="DJ7" i="4"/>
  <c r="DK8" i="4"/>
  <c r="DN8" i="4" s="1"/>
  <c r="N5" i="7"/>
  <c r="V11" i="16"/>
  <c r="CM51" i="3"/>
  <c r="CY27" i="3"/>
  <c r="CY21" i="3"/>
  <c r="EC21" i="3" s="1"/>
  <c r="EC22" i="3" s="1"/>
  <c r="CK51" i="3"/>
  <c r="CW21" i="3"/>
  <c r="EA21" i="3" s="1"/>
  <c r="EA22" i="3" s="1"/>
  <c r="EC28" i="3"/>
  <c r="CL27" i="3"/>
  <c r="L27" i="3"/>
  <c r="L28" i="3" s="1"/>
  <c r="BH28" i="3" s="1"/>
  <c r="CL28" i="3" s="1"/>
  <c r="CG50" i="3"/>
  <c r="G50" i="3"/>
  <c r="G51" i="3" s="1"/>
  <c r="G52" i="3" s="1"/>
  <c r="BC52" i="3" s="1"/>
  <c r="CG52" i="3" s="1"/>
  <c r="CP27" i="3"/>
  <c r="S51" i="3"/>
  <c r="S52" i="3" s="1"/>
  <c r="BO52" i="3" s="1"/>
  <c r="CX22" i="3"/>
  <c r="CX27" i="3"/>
  <c r="DW11" i="3"/>
  <c r="CC22" i="3"/>
  <c r="CP21" i="3"/>
  <c r="DT21" i="3" s="1"/>
  <c r="DT22" i="3" s="1"/>
  <c r="DV28" i="3"/>
  <c r="DV27" i="3" s="1"/>
  <c r="BD26" i="3"/>
  <c r="CH25" i="3"/>
  <c r="DN25" i="3" s="1"/>
  <c r="DO11" i="3"/>
  <c r="DM9" i="3"/>
  <c r="M27" i="3"/>
  <c r="M28" i="3" s="1"/>
  <c r="BI28" i="3" s="1"/>
  <c r="CM28" i="3" s="1"/>
  <c r="CM27" i="3" s="1"/>
  <c r="CO26" i="3"/>
  <c r="O26" i="3"/>
  <c r="O27" i="3" s="1"/>
  <c r="O28" i="3" s="1"/>
  <c r="BK28" i="3" s="1"/>
  <c r="CO28" i="3" s="1"/>
  <c r="CW51" i="3"/>
  <c r="CG25" i="3"/>
  <c r="DM25" i="3" s="1"/>
  <c r="BC26" i="3"/>
  <c r="BQ50" i="3"/>
  <c r="U50" i="3" s="1"/>
  <c r="CU49" i="3"/>
  <c r="BE50" i="3"/>
  <c r="CI49" i="3"/>
  <c r="ED19" i="3"/>
  <c r="DJ9" i="4"/>
  <c r="DM9" i="4" s="1"/>
  <c r="DH10" i="4"/>
  <c r="DK9" i="4"/>
  <c r="DN9" i="4" s="1"/>
  <c r="CI25" i="3"/>
  <c r="DO25" i="3" s="1"/>
  <c r="BE26" i="3"/>
  <c r="CV49" i="3"/>
  <c r="BR50" i="3"/>
  <c r="V50" i="3" s="1"/>
  <c r="CT51" i="3"/>
  <c r="CO20" i="3"/>
  <c r="DR20" i="3"/>
  <c r="CJ26" i="3"/>
  <c r="J26" i="3"/>
  <c r="J27" i="3" s="1"/>
  <c r="J28" i="3" s="1"/>
  <c r="BF28" i="3" s="1"/>
  <c r="CJ28" i="3" s="1"/>
  <c r="BA26" i="3"/>
  <c r="CE25" i="3"/>
  <c r="DK25" i="3" s="1"/>
  <c r="DN16" i="3"/>
  <c r="DF62" i="3" s="1"/>
  <c r="CZ16" i="3"/>
  <c r="DB16" i="3"/>
  <c r="CC6" i="3"/>
  <c r="AZ5" i="3"/>
  <c r="BO26" i="3"/>
  <c r="S26" i="3" s="1"/>
  <c r="CS25" i="3"/>
  <c r="DY25" i="3" s="1"/>
  <c r="BF49" i="3"/>
  <c r="ED16" i="3"/>
  <c r="AZ25" i="3"/>
  <c r="BB8" i="16"/>
  <c r="BB10" i="16" s="1"/>
  <c r="DB9" i="3"/>
  <c r="EG9" i="3" s="1"/>
  <c r="DK9" i="3"/>
  <c r="CA58" i="3"/>
  <c r="W12" i="16"/>
  <c r="W10" i="16"/>
  <c r="CR49" i="3"/>
  <c r="BN50" i="3"/>
  <c r="BC7" i="16"/>
  <c r="CB65" i="3"/>
  <c r="CZ12" i="3"/>
  <c r="DL12" i="3"/>
  <c r="DB12" i="3"/>
  <c r="CB60" i="3"/>
  <c r="DJ8" i="4"/>
  <c r="CB62" i="3"/>
  <c r="CZ9" i="3"/>
  <c r="DU6" i="4"/>
  <c r="EG8" i="4"/>
  <c r="EE9" i="4"/>
  <c r="DF65" i="3"/>
  <c r="DR6" i="4"/>
  <c r="DP7" i="4"/>
  <c r="GV3" i="4" l="1"/>
  <c r="AI29" i="4"/>
  <c r="X8" i="16"/>
  <c r="Y8" i="16" s="1"/>
  <c r="GV13" i="4"/>
  <c r="AW10" i="16"/>
  <c r="AN10" i="16" s="1"/>
  <c r="X9" i="16"/>
  <c r="Y9" i="16" s="1"/>
  <c r="AW8" i="16"/>
  <c r="AD2" i="16"/>
  <c r="AD3" i="16" s="1"/>
  <c r="AD9" i="16" s="1"/>
  <c r="AE9" i="16" s="1"/>
  <c r="X12" i="16"/>
  <c r="Y12" i="16" s="1"/>
  <c r="X13" i="16"/>
  <c r="Y13" i="16" s="1"/>
  <c r="AP18" i="16"/>
  <c r="X10" i="16"/>
  <c r="Y10" i="16" s="1"/>
  <c r="AW9" i="16"/>
  <c r="AN9" i="16" s="1"/>
  <c r="AO18" i="16"/>
  <c r="X11" i="16"/>
  <c r="Y11" i="16" s="1"/>
  <c r="AW14" i="16"/>
  <c r="AN14" i="16" s="1"/>
  <c r="AO14" i="16" s="1"/>
  <c r="GP15" i="4"/>
  <c r="GR14" i="4"/>
  <c r="GQ14" i="4" s="1"/>
  <c r="GT14" i="4" s="1"/>
  <c r="GU4" i="4"/>
  <c r="GV4" i="4"/>
  <c r="GR5" i="4"/>
  <c r="GQ5" i="4" s="1"/>
  <c r="GT5" i="4" s="1"/>
  <c r="BH12" i="4"/>
  <c r="BI11" i="4"/>
  <c r="AW12" i="16"/>
  <c r="AN12" i="16" s="1"/>
  <c r="AO12" i="16" s="1"/>
  <c r="X7" i="16"/>
  <c r="BC11" i="16"/>
  <c r="BC9" i="16"/>
  <c r="DG6" i="3"/>
  <c r="CJ49" i="3"/>
  <c r="BF50" i="3"/>
  <c r="CP20" i="3"/>
  <c r="DS20" i="3"/>
  <c r="DL9" i="4"/>
  <c r="DI9" i="4" s="1"/>
  <c r="CY11" i="3"/>
  <c r="EB11" i="3"/>
  <c r="CC28" i="3"/>
  <c r="EA27" i="3"/>
  <c r="EA29" i="3" s="1"/>
  <c r="EA30" i="3" s="1"/>
  <c r="R50" i="3"/>
  <c r="R51" i="3" s="1"/>
  <c r="R52" i="3" s="1"/>
  <c r="BN52" i="3" s="1"/>
  <c r="CR52" i="3" s="1"/>
  <c r="CR50" i="3"/>
  <c r="CO21" i="3"/>
  <c r="DS21" i="3" s="1"/>
  <c r="DS22" i="3" s="1"/>
  <c r="DU28" i="3"/>
  <c r="O5" i="7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B22" i="16"/>
  <c r="AB11" i="16"/>
  <c r="AB10" i="16"/>
  <c r="CR26" i="3"/>
  <c r="R26" i="3"/>
  <c r="R27" i="3" s="1"/>
  <c r="R28" i="3" s="1"/>
  <c r="BN28" i="3" s="1"/>
  <c r="CR28" i="3" s="1"/>
  <c r="CR21" i="3" s="1"/>
  <c r="DV21" i="3" s="1"/>
  <c r="DV22" i="3" s="1"/>
  <c r="AO5" i="16"/>
  <c r="AP5" i="16"/>
  <c r="AP16" i="16"/>
  <c r="AO16" i="16"/>
  <c r="AI7" i="4"/>
  <c r="AH6" i="4"/>
  <c r="EJ6" i="4"/>
  <c r="EI6" i="4"/>
  <c r="EG9" i="4"/>
  <c r="EJ9" i="4" s="1"/>
  <c r="EH9" i="4"/>
  <c r="EK9" i="4" s="1"/>
  <c r="EE10" i="4"/>
  <c r="DH11" i="4"/>
  <c r="DK10" i="4"/>
  <c r="DN10" i="4" s="1"/>
  <c r="DJ10" i="4"/>
  <c r="DM10" i="4" s="1"/>
  <c r="CO22" i="3"/>
  <c r="CO27" i="3"/>
  <c r="DU26" i="3"/>
  <c r="DU27" i="3" s="1"/>
  <c r="EJ7" i="4"/>
  <c r="EI7" i="4"/>
  <c r="AO17" i="16"/>
  <c r="AP17" i="16"/>
  <c r="EJ8" i="4"/>
  <c r="EI8" i="4"/>
  <c r="ED9" i="3"/>
  <c r="V51" i="3"/>
  <c r="V52" i="3" s="1"/>
  <c r="BR52" i="3" s="1"/>
  <c r="CV51" i="3"/>
  <c r="I50" i="3"/>
  <c r="I51" i="3" s="1"/>
  <c r="I52" i="3" s="1"/>
  <c r="BE52" i="3" s="1"/>
  <c r="CI52" i="3" s="1"/>
  <c r="CI50" i="3"/>
  <c r="CM21" i="3"/>
  <c r="DQ21" i="3" s="1"/>
  <c r="DS28" i="3"/>
  <c r="DS27" i="3" s="1"/>
  <c r="CM31" i="3"/>
  <c r="H26" i="3"/>
  <c r="H27" i="3" s="1"/>
  <c r="H28" i="3" s="1"/>
  <c r="BD28" i="3" s="1"/>
  <c r="CH28" i="3" s="1"/>
  <c r="CH26" i="3"/>
  <c r="DM7" i="4"/>
  <c r="DL7" i="4"/>
  <c r="CU14" i="3"/>
  <c r="DX14" i="3"/>
  <c r="AP10" i="16"/>
  <c r="AO10" i="16"/>
  <c r="CD25" i="3"/>
  <c r="DJ25" i="3" s="1"/>
  <c r="AZ26" i="3"/>
  <c r="CE26" i="3"/>
  <c r="E26" i="3"/>
  <c r="E27" i="3" s="1"/>
  <c r="E28" i="3" s="1"/>
  <c r="BA28" i="3" s="1"/>
  <c r="CE28" i="3" s="1"/>
  <c r="EC27" i="3"/>
  <c r="AI30" i="4"/>
  <c r="AH31" i="4"/>
  <c r="DW29" i="3"/>
  <c r="DV29" i="3"/>
  <c r="DL6" i="4"/>
  <c r="DM6" i="4"/>
  <c r="CN21" i="3"/>
  <c r="DR21" i="3" s="1"/>
  <c r="DR22" i="3" s="1"/>
  <c r="DT28" i="3"/>
  <c r="DS10" i="3"/>
  <c r="CP10" i="3"/>
  <c r="CO31" i="3"/>
  <c r="CK26" i="3"/>
  <c r="K26" i="3"/>
  <c r="K27" i="3" s="1"/>
  <c r="K28" i="3" s="1"/>
  <c r="BG28" i="3" s="1"/>
  <c r="CK28" i="3" s="1"/>
  <c r="DM8" i="4"/>
  <c r="DL8" i="4"/>
  <c r="ED12" i="3"/>
  <c r="S27" i="3"/>
  <c r="S28" i="3" s="1"/>
  <c r="BO28" i="3" s="1"/>
  <c r="CS27" i="3"/>
  <c r="CJ21" i="3"/>
  <c r="DN21" i="3" s="1"/>
  <c r="DN22" i="3" s="1"/>
  <c r="DP28" i="3"/>
  <c r="CI26" i="3"/>
  <c r="I26" i="3"/>
  <c r="I27" i="3" s="1"/>
  <c r="I28" i="3" s="1"/>
  <c r="BE28" i="3" s="1"/>
  <c r="CI28" i="3" s="1"/>
  <c r="U51" i="3"/>
  <c r="U52" i="3" s="1"/>
  <c r="BQ52" i="3" s="1"/>
  <c r="CG51" i="3"/>
  <c r="CN22" i="3"/>
  <c r="CN27" i="3"/>
  <c r="DT26" i="3"/>
  <c r="CT27" i="3"/>
  <c r="AO6" i="16"/>
  <c r="AP6" i="16"/>
  <c r="W15" i="16"/>
  <c r="P21" i="16"/>
  <c r="P14" i="16"/>
  <c r="DP8" i="4"/>
  <c r="DR7" i="4"/>
  <c r="DS7" i="4"/>
  <c r="DU7" i="4" s="1"/>
  <c r="BC8" i="16"/>
  <c r="BC10" i="16" s="1"/>
  <c r="DF60" i="3"/>
  <c r="BA5" i="3"/>
  <c r="CD6" i="3"/>
  <c r="DH6" i="3" s="1"/>
  <c r="DP26" i="3"/>
  <c r="CJ31" i="3"/>
  <c r="CJ22" i="3"/>
  <c r="CJ27" i="3"/>
  <c r="G26" i="3"/>
  <c r="G27" i="3" s="1"/>
  <c r="G28" i="3" s="1"/>
  <c r="BC28" i="3" s="1"/>
  <c r="CG28" i="3" s="1"/>
  <c r="CG26" i="3"/>
  <c r="CS51" i="3"/>
  <c r="DR28" i="3"/>
  <c r="DR27" i="3" s="1"/>
  <c r="CL21" i="3"/>
  <c r="DP21" i="3" s="1"/>
  <c r="CL31" i="3"/>
  <c r="AO9" i="16"/>
  <c r="AP9" i="16"/>
  <c r="DF31" i="3"/>
  <c r="Y7" i="16"/>
  <c r="AP14" i="16" l="1"/>
  <c r="DI8" i="4"/>
  <c r="DI7" i="4"/>
  <c r="AP12" i="16"/>
  <c r="AD7" i="16"/>
  <c r="AD13" i="16"/>
  <c r="AE13" i="16" s="1"/>
  <c r="R21" i="16" s="1"/>
  <c r="P12" i="16"/>
  <c r="Z14" i="16"/>
  <c r="AD8" i="16"/>
  <c r="AE8" i="16" s="1"/>
  <c r="AD12" i="16"/>
  <c r="AE12" i="16" s="1"/>
  <c r="P13" i="16"/>
  <c r="GU14" i="4"/>
  <c r="GV14" i="4"/>
  <c r="GR15" i="4"/>
  <c r="GQ15" i="4" s="1"/>
  <c r="GT15" i="4" s="1"/>
  <c r="GP16" i="4"/>
  <c r="GR6" i="4"/>
  <c r="GQ6" i="4" s="1"/>
  <c r="GT6" i="4" s="1"/>
  <c r="GU6" i="4" s="1"/>
  <c r="BH13" i="4"/>
  <c r="BI12" i="4"/>
  <c r="DI6" i="4"/>
  <c r="DL10" i="4"/>
  <c r="DI10" i="4" s="1"/>
  <c r="GU5" i="4"/>
  <c r="GV5" i="4"/>
  <c r="X15" i="16"/>
  <c r="P20" i="16"/>
  <c r="BC13" i="16"/>
  <c r="R9" i="16" s="1"/>
  <c r="F23" i="16" s="1"/>
  <c r="F27" i="16" s="1"/>
  <c r="AE7" i="16"/>
  <c r="CI27" i="3"/>
  <c r="DO26" i="3"/>
  <c r="DO27" i="3" s="1"/>
  <c r="DO29" i="3" s="1"/>
  <c r="CI22" i="3"/>
  <c r="CI31" i="3"/>
  <c r="DQ26" i="3"/>
  <c r="CK22" i="3"/>
  <c r="CK27" i="3"/>
  <c r="CK31" i="3"/>
  <c r="DS31" i="3"/>
  <c r="AI31" i="4"/>
  <c r="AH32" i="4"/>
  <c r="CV14" i="3"/>
  <c r="DY14" i="3"/>
  <c r="CI51" i="3"/>
  <c r="EF8" i="4"/>
  <c r="DN31" i="3"/>
  <c r="AC10" i="16"/>
  <c r="AD11" i="16"/>
  <c r="AE11" i="16" s="1"/>
  <c r="EC11" i="3"/>
  <c r="ED11" i="3" s="1"/>
  <c r="CZ11" i="3"/>
  <c r="DB11" i="3"/>
  <c r="CB59" i="3"/>
  <c r="CJ50" i="3"/>
  <c r="J50" i="3"/>
  <c r="J51" i="3" s="1"/>
  <c r="J52" i="3" s="1"/>
  <c r="BF52" i="3" s="1"/>
  <c r="CJ52" i="3" s="1"/>
  <c r="CZ52" i="3" s="1"/>
  <c r="EI9" i="4"/>
  <c r="EF9" i="4" s="1"/>
  <c r="AP23" i="16"/>
  <c r="DT10" i="3"/>
  <c r="CQ10" i="3"/>
  <c r="CP31" i="3"/>
  <c r="DT20" i="3"/>
  <c r="CQ20" i="3"/>
  <c r="CZ50" i="3"/>
  <c r="EE11" i="4"/>
  <c r="EH10" i="4"/>
  <c r="EK10" i="4" s="1"/>
  <c r="EG10" i="4"/>
  <c r="EJ10" i="4" s="1"/>
  <c r="AO23" i="16"/>
  <c r="DF59" i="3"/>
  <c r="DM28" i="3"/>
  <c r="CG21" i="3"/>
  <c r="DK21" i="3" s="1"/>
  <c r="DP22" i="3"/>
  <c r="DP31" i="3"/>
  <c r="DP27" i="3"/>
  <c r="CU51" i="3"/>
  <c r="CE21" i="3"/>
  <c r="DI21" i="3" s="1"/>
  <c r="DK28" i="3"/>
  <c r="DR31" i="3"/>
  <c r="DN26" i="3"/>
  <c r="DN27" i="3" s="1"/>
  <c r="CH22" i="3"/>
  <c r="CH27" i="3"/>
  <c r="CH31" i="3"/>
  <c r="CE31" i="3"/>
  <c r="CE27" i="3"/>
  <c r="DK26" i="3"/>
  <c r="DK27" i="3" s="1"/>
  <c r="CE22" i="3"/>
  <c r="CH21" i="3"/>
  <c r="DL21" i="3" s="1"/>
  <c r="DN28" i="3"/>
  <c r="AP26" i="16"/>
  <c r="CR22" i="3"/>
  <c r="CR27" i="3"/>
  <c r="BB5" i="3"/>
  <c r="CE6" i="3"/>
  <c r="DR8" i="4"/>
  <c r="DS8" i="4"/>
  <c r="DU8" i="4" s="1"/>
  <c r="DP9" i="4"/>
  <c r="CD26" i="3"/>
  <c r="D26" i="3"/>
  <c r="D27" i="3" s="1"/>
  <c r="D28" i="3" s="1"/>
  <c r="AO26" i="16"/>
  <c r="AH5" i="4"/>
  <c r="AI6" i="4"/>
  <c r="CK21" i="3"/>
  <c r="DO21" i="3" s="1"/>
  <c r="DQ28" i="3"/>
  <c r="DX30" i="3"/>
  <c r="DW30" i="3"/>
  <c r="DQ22" i="3"/>
  <c r="DQ31" i="3" s="1"/>
  <c r="Y15" i="16"/>
  <c r="P19" i="16"/>
  <c r="DM26" i="3"/>
  <c r="DM27" i="3" s="1"/>
  <c r="DM29" i="3" s="1"/>
  <c r="CG22" i="3"/>
  <c r="CG27" i="3"/>
  <c r="CG31" i="3"/>
  <c r="DT27" i="3"/>
  <c r="DT29" i="3" s="1"/>
  <c r="DT30" i="3" s="1"/>
  <c r="CI21" i="3"/>
  <c r="DM21" i="3" s="1"/>
  <c r="DO28" i="3"/>
  <c r="DS29" i="3"/>
  <c r="DH12" i="4"/>
  <c r="DJ11" i="4"/>
  <c r="DM11" i="4" s="1"/>
  <c r="DK11" i="4"/>
  <c r="DN11" i="4" s="1"/>
  <c r="CR51" i="3"/>
  <c r="CC21" i="3"/>
  <c r="DI28" i="3"/>
  <c r="CC27" i="3"/>
  <c r="CC31" i="3"/>
  <c r="R14" i="16" l="1"/>
  <c r="R19" i="16"/>
  <c r="V15" i="16"/>
  <c r="R12" i="16"/>
  <c r="GR16" i="4"/>
  <c r="GQ16" i="4" s="1"/>
  <c r="GT16" i="4" s="1"/>
  <c r="GP17" i="4"/>
  <c r="GU15" i="4"/>
  <c r="GV15" i="4"/>
  <c r="EI10" i="4"/>
  <c r="EF10" i="4" s="1"/>
  <c r="GV6" i="4"/>
  <c r="GR7" i="4"/>
  <c r="GQ7" i="4" s="1"/>
  <c r="GT7" i="4" s="1"/>
  <c r="BH14" i="4"/>
  <c r="BH15" i="4" s="1"/>
  <c r="BI13" i="4"/>
  <c r="DZ14" i="3"/>
  <c r="CW14" i="3"/>
  <c r="DN29" i="3"/>
  <c r="DN30" i="3" s="1"/>
  <c r="CR20" i="3"/>
  <c r="DU20" i="3"/>
  <c r="DU29" i="3"/>
  <c r="AD10" i="16"/>
  <c r="AC15" i="16"/>
  <c r="DO30" i="3"/>
  <c r="DL11" i="4"/>
  <c r="DI11" i="4" s="1"/>
  <c r="AA16" i="16"/>
  <c r="DK22" i="3"/>
  <c r="DK31" i="3" s="1"/>
  <c r="AH33" i="4"/>
  <c r="AI33" i="4" s="1"/>
  <c r="AI32" i="4"/>
  <c r="DQ27" i="3"/>
  <c r="DG21" i="3"/>
  <c r="DT31" i="3"/>
  <c r="DR9" i="4"/>
  <c r="DP10" i="4"/>
  <c r="DS9" i="4"/>
  <c r="DU9" i="4" s="1"/>
  <c r="AO13" i="16"/>
  <c r="AP13" i="16"/>
  <c r="DM22" i="3"/>
  <c r="DM31" i="3"/>
  <c r="CJ51" i="3"/>
  <c r="DL22" i="3"/>
  <c r="DL31" i="3"/>
  <c r="DI22" i="3"/>
  <c r="DI31" i="3"/>
  <c r="CZ49" i="3"/>
  <c r="CZ51" i="3"/>
  <c r="EF7" i="4"/>
  <c r="EF6" i="4" s="1"/>
  <c r="EF5" i="4" s="1"/>
  <c r="DH13" i="4"/>
  <c r="DK12" i="4"/>
  <c r="DN12" i="4" s="1"/>
  <c r="DJ12" i="4"/>
  <c r="DM12" i="4" s="1"/>
  <c r="AZ28" i="3"/>
  <c r="BX28" i="3"/>
  <c r="DA28" i="3" s="1"/>
  <c r="DA27" i="3" s="1"/>
  <c r="BC5" i="3"/>
  <c r="CF6" i="3"/>
  <c r="AO11" i="16"/>
  <c r="AP11" i="16"/>
  <c r="DO22" i="3"/>
  <c r="DO31" i="3"/>
  <c r="DI6" i="3"/>
  <c r="AH4" i="4"/>
  <c r="AI5" i="4"/>
  <c r="CD22" i="3"/>
  <c r="DJ26" i="3"/>
  <c r="CZ26" i="3"/>
  <c r="DL29" i="3"/>
  <c r="DM30" i="3" s="1"/>
  <c r="DI27" i="3"/>
  <c r="DI29" i="3" s="1"/>
  <c r="DI30" i="3" s="1"/>
  <c r="DP29" i="3"/>
  <c r="DP30" i="3" s="1"/>
  <c r="EH11" i="4"/>
  <c r="EK11" i="4" s="1"/>
  <c r="EG11" i="4"/>
  <c r="EJ11" i="4" s="1"/>
  <c r="EE12" i="4"/>
  <c r="CR10" i="3"/>
  <c r="CQ31" i="3"/>
  <c r="DU10" i="3"/>
  <c r="GR17" i="4" l="1"/>
  <c r="GQ17" i="4" s="1"/>
  <c r="GT17" i="4" s="1"/>
  <c r="GP18" i="4"/>
  <c r="GU16" i="4"/>
  <c r="GV16" i="4"/>
  <c r="BH16" i="4"/>
  <c r="BH17" i="4" s="1"/>
  <c r="BI15" i="4"/>
  <c r="BI14" i="4" s="1"/>
  <c r="DL12" i="4"/>
  <c r="DI12" i="4" s="1"/>
  <c r="GV7" i="4"/>
  <c r="GU7" i="4"/>
  <c r="GR8" i="4"/>
  <c r="GQ8" i="4" s="1"/>
  <c r="GT8" i="4" s="1"/>
  <c r="AH3" i="4"/>
  <c r="AI3" i="4" s="1"/>
  <c r="AI4" i="4"/>
  <c r="AO25" i="16"/>
  <c r="EE26" i="3"/>
  <c r="DH14" i="4"/>
  <c r="DK13" i="4"/>
  <c r="DN13" i="4" s="1"/>
  <c r="DJ13" i="4"/>
  <c r="DM13" i="4" s="1"/>
  <c r="AF4" i="16"/>
  <c r="DU31" i="3"/>
  <c r="CG6" i="3"/>
  <c r="BD5" i="3"/>
  <c r="AP25" i="16"/>
  <c r="DJ6" i="3"/>
  <c r="DQ29" i="3"/>
  <c r="DQ30" i="3" s="1"/>
  <c r="DR29" i="3"/>
  <c r="ED26" i="3"/>
  <c r="R13" i="16"/>
  <c r="AE10" i="16"/>
  <c r="AF14" i="16" s="1"/>
  <c r="AD15" i="16"/>
  <c r="CX14" i="3"/>
  <c r="EA14" i="3"/>
  <c r="CS10" i="3"/>
  <c r="DV10" i="3"/>
  <c r="CR31" i="3"/>
  <c r="EH12" i="4"/>
  <c r="EK12" i="4" s="1"/>
  <c r="EE13" i="4"/>
  <c r="EG12" i="4"/>
  <c r="EJ12" i="4" s="1"/>
  <c r="DU30" i="3"/>
  <c r="DV30" i="3"/>
  <c r="CD28" i="3"/>
  <c r="EB27" i="3"/>
  <c r="DB22" i="3"/>
  <c r="DC22" i="3" s="1"/>
  <c r="CZ22" i="3"/>
  <c r="EJ22" i="3" s="1"/>
  <c r="EN22" i="3" s="1"/>
  <c r="EN21" i="3" s="1"/>
  <c r="CB68" i="3"/>
  <c r="EI11" i="4"/>
  <c r="EF11" i="4" s="1"/>
  <c r="DR10" i="4"/>
  <c r="DS10" i="4"/>
  <c r="DU10" i="4" s="1"/>
  <c r="DP11" i="4"/>
  <c r="CS20" i="3"/>
  <c r="DV20" i="3"/>
  <c r="DG22" i="3"/>
  <c r="DG31" i="3"/>
  <c r="AF12" i="16" l="1"/>
  <c r="AF9" i="16"/>
  <c r="AF11" i="16"/>
  <c r="AG11" i="16" s="1"/>
  <c r="AF8" i="16"/>
  <c r="AF7" i="16"/>
  <c r="AF10" i="16"/>
  <c r="AG10" i="16" s="1"/>
  <c r="GR18" i="4"/>
  <c r="GQ18" i="4" s="1"/>
  <c r="GT18" i="4" s="1"/>
  <c r="GP19" i="4"/>
  <c r="GV17" i="4"/>
  <c r="GU17" i="4"/>
  <c r="BI17" i="4"/>
  <c r="BI16" i="4" s="1"/>
  <c r="BH18" i="4"/>
  <c r="BH19" i="4" s="1"/>
  <c r="BI19" i="4" s="1"/>
  <c r="BI18" i="4" s="1"/>
  <c r="GU8" i="4"/>
  <c r="GV8" i="4"/>
  <c r="GR9" i="4"/>
  <c r="GQ9" i="4" s="1"/>
  <c r="GT9" i="4" s="1"/>
  <c r="EI12" i="4"/>
  <c r="EF12" i="4" s="1"/>
  <c r="DL13" i="4"/>
  <c r="DI13" i="4" s="1"/>
  <c r="DW20" i="3"/>
  <c r="CT20" i="3"/>
  <c r="DV31" i="3"/>
  <c r="DH15" i="4"/>
  <c r="DK14" i="4"/>
  <c r="DN14" i="4" s="1"/>
  <c r="DJ14" i="4"/>
  <c r="DM14" i="4" s="1"/>
  <c r="DR11" i="4"/>
  <c r="DP12" i="4"/>
  <c r="DS11" i="4"/>
  <c r="DU11" i="4" s="1"/>
  <c r="EE14" i="4"/>
  <c r="EH13" i="4"/>
  <c r="EK13" i="4" s="1"/>
  <c r="EG13" i="4"/>
  <c r="EJ13" i="4" s="1"/>
  <c r="DW10" i="3"/>
  <c r="CT10" i="3"/>
  <c r="CS31" i="3"/>
  <c r="AG12" i="16"/>
  <c r="AG9" i="16"/>
  <c r="AG8" i="16"/>
  <c r="R20" i="16"/>
  <c r="AE15" i="16"/>
  <c r="AB15" i="16" s="1"/>
  <c r="EB29" i="3"/>
  <c r="EB30" i="3" s="1"/>
  <c r="EC29" i="3"/>
  <c r="AA14" i="16"/>
  <c r="P23" i="16" s="1"/>
  <c r="P16" i="16"/>
  <c r="CD21" i="3"/>
  <c r="DJ28" i="3"/>
  <c r="CZ28" i="3"/>
  <c r="CD27" i="3"/>
  <c r="CD31" i="3"/>
  <c r="CY14" i="3"/>
  <c r="DB14" i="3" s="1"/>
  <c r="EB14" i="3"/>
  <c r="DR30" i="3"/>
  <c r="DS30" i="3"/>
  <c r="BE5" i="3"/>
  <c r="CH6" i="3"/>
  <c r="DK6" i="3"/>
  <c r="BH20" i="4" l="1"/>
  <c r="AB16" i="16"/>
  <c r="GP20" i="4"/>
  <c r="GR19" i="4"/>
  <c r="GQ19" i="4" s="1"/>
  <c r="GT19" i="4" s="1"/>
  <c r="GU18" i="4"/>
  <c r="GV18" i="4"/>
  <c r="GU9" i="4"/>
  <c r="GV9" i="4"/>
  <c r="GR10" i="4"/>
  <c r="GQ10" i="4" s="1"/>
  <c r="GT10" i="4" s="1"/>
  <c r="CB61" i="3"/>
  <c r="DH21" i="3"/>
  <c r="DB21" i="3"/>
  <c r="DC21" i="3" s="1"/>
  <c r="CZ21" i="3"/>
  <c r="EJ21" i="3" s="1"/>
  <c r="CB67" i="3"/>
  <c r="EI13" i="4"/>
  <c r="EF13" i="4" s="1"/>
  <c r="EE28" i="3"/>
  <c r="EE27" i="3" s="1"/>
  <c r="CZ25" i="3"/>
  <c r="EE25" i="3" s="1"/>
  <c r="CZ27" i="3"/>
  <c r="CT31" i="3"/>
  <c r="DX10" i="3"/>
  <c r="CU10" i="3"/>
  <c r="DW31" i="3"/>
  <c r="DR12" i="4"/>
  <c r="DS12" i="4"/>
  <c r="DU12" i="4" s="1"/>
  <c r="DP13" i="4"/>
  <c r="ED28" i="3"/>
  <c r="DJ27" i="3"/>
  <c r="BH21" i="4"/>
  <c r="DL14" i="4"/>
  <c r="DI14" i="4" s="1"/>
  <c r="AF15" i="16"/>
  <c r="EC14" i="3"/>
  <c r="CZ14" i="3"/>
  <c r="AG7" i="16"/>
  <c r="R15" i="16"/>
  <c r="DL6" i="3"/>
  <c r="DK15" i="4"/>
  <c r="DN15" i="4" s="1"/>
  <c r="DH16" i="4"/>
  <c r="DJ15" i="4"/>
  <c r="DM15" i="4" s="1"/>
  <c r="DX20" i="3"/>
  <c r="ED20" i="3" s="1"/>
  <c r="CB66" i="3"/>
  <c r="DB20" i="3"/>
  <c r="CZ20" i="3"/>
  <c r="EE15" i="4"/>
  <c r="EG14" i="4"/>
  <c r="EJ14" i="4" s="1"/>
  <c r="EH14" i="4"/>
  <c r="EK14" i="4" s="1"/>
  <c r="CI6" i="3"/>
  <c r="BF5" i="3"/>
  <c r="EC30" i="3"/>
  <c r="GV19" i="4" l="1"/>
  <c r="GU19" i="4"/>
  <c r="GR20" i="4"/>
  <c r="GQ20" i="4" s="1"/>
  <c r="GT20" i="4" s="1"/>
  <c r="GP21" i="4"/>
  <c r="GU10" i="4"/>
  <c r="GV10" i="4"/>
  <c r="GR11" i="4"/>
  <c r="GQ11" i="4" s="1"/>
  <c r="GT11" i="4" s="1"/>
  <c r="DL15" i="4"/>
  <c r="DI15" i="4" s="1"/>
  <c r="DJ16" i="4"/>
  <c r="DM16" i="4" s="1"/>
  <c r="DK16" i="4"/>
  <c r="DN16" i="4" s="1"/>
  <c r="DH17" i="4"/>
  <c r="EE16" i="4"/>
  <c r="EG15" i="4"/>
  <c r="EJ15" i="4" s="1"/>
  <c r="EH15" i="4"/>
  <c r="EK15" i="4" s="1"/>
  <c r="DH22" i="3"/>
  <c r="DH31" i="3" s="1"/>
  <c r="ED21" i="3"/>
  <c r="DF67" i="3"/>
  <c r="BG5" i="3"/>
  <c r="CJ6" i="3"/>
  <c r="R22" i="16"/>
  <c r="AG15" i="16"/>
  <c r="BH22" i="4"/>
  <c r="BI21" i="4"/>
  <c r="BI20" i="4" s="1"/>
  <c r="DX31" i="3"/>
  <c r="DM6" i="3"/>
  <c r="DJ29" i="3"/>
  <c r="DJ30" i="3" s="1"/>
  <c r="DK29" i="3"/>
  <c r="ED14" i="3"/>
  <c r="DF61" i="3"/>
  <c r="ED27" i="3"/>
  <c r="ED25" i="3"/>
  <c r="DF66" i="3"/>
  <c r="AG14" i="16"/>
  <c r="R23" i="16" s="1"/>
  <c r="R16" i="16"/>
  <c r="EI14" i="4"/>
  <c r="EF14" i="4" s="1"/>
  <c r="DR13" i="4"/>
  <c r="DS13" i="4"/>
  <c r="DU13" i="4" s="1"/>
  <c r="DU2" i="4" s="1"/>
  <c r="CV10" i="3"/>
  <c r="CU31" i="3"/>
  <c r="DY10" i="3"/>
  <c r="DL16" i="4" l="1"/>
  <c r="DI16" i="4" s="1"/>
  <c r="GP22" i="4"/>
  <c r="GR21" i="4"/>
  <c r="GQ21" i="4" s="1"/>
  <c r="GT21" i="4" s="1"/>
  <c r="GV20" i="4"/>
  <c r="GU20" i="4"/>
  <c r="GU11" i="4"/>
  <c r="GV11" i="4"/>
  <c r="EI15" i="4"/>
  <c r="EF15" i="4" s="1"/>
  <c r="GR12" i="4"/>
  <c r="GQ12" i="4" s="1"/>
  <c r="GT12" i="4" s="1"/>
  <c r="DY31" i="3"/>
  <c r="EE17" i="4"/>
  <c r="EG16" i="4"/>
  <c r="EJ16" i="4" s="1"/>
  <c r="EH16" i="4"/>
  <c r="EK16" i="4" s="1"/>
  <c r="CK6" i="3"/>
  <c r="BH5" i="3"/>
  <c r="DZ10" i="3"/>
  <c r="CW10" i="3"/>
  <c r="CV31" i="3"/>
  <c r="DK30" i="3"/>
  <c r="DL30" i="3"/>
  <c r="EK21" i="3"/>
  <c r="EG21" i="3"/>
  <c r="EH21" i="3" s="1"/>
  <c r="DH18" i="4"/>
  <c r="DJ17" i="4"/>
  <c r="DM17" i="4" s="1"/>
  <c r="DK17" i="4"/>
  <c r="DN17" i="4" s="1"/>
  <c r="BH23" i="4"/>
  <c r="DF68" i="3"/>
  <c r="ED22" i="3"/>
  <c r="DN6" i="3"/>
  <c r="GU21" i="4" l="1"/>
  <c r="GV21" i="4"/>
  <c r="GP23" i="4"/>
  <c r="GR22" i="4"/>
  <c r="GQ22" i="4" s="1"/>
  <c r="GT22" i="4" s="1"/>
  <c r="DL17" i="4"/>
  <c r="DI17" i="4" s="1"/>
  <c r="GU12" i="4"/>
  <c r="GV12" i="4"/>
  <c r="EI16" i="4"/>
  <c r="EF16" i="4" s="1"/>
  <c r="CX10" i="3"/>
  <c r="CW31" i="3"/>
  <c r="EA10" i="3"/>
  <c r="EE18" i="4"/>
  <c r="EG17" i="4"/>
  <c r="EJ17" i="4" s="1"/>
  <c r="EH17" i="4"/>
  <c r="EK17" i="4" s="1"/>
  <c r="DJ18" i="4"/>
  <c r="DM18" i="4" s="1"/>
  <c r="DK18" i="4"/>
  <c r="DN18" i="4" s="1"/>
  <c r="DH19" i="4"/>
  <c r="DZ31" i="3"/>
  <c r="EK22" i="3"/>
  <c r="EO22" i="3" s="1"/>
  <c r="EO21" i="3" s="1"/>
  <c r="EG22" i="3"/>
  <c r="EH22" i="3" s="1"/>
  <c r="CL6" i="3"/>
  <c r="BI5" i="3"/>
  <c r="BH24" i="4"/>
  <c r="BI23" i="4"/>
  <c r="BI22" i="4" s="1"/>
  <c r="DO6" i="3"/>
  <c r="GU22" i="4" l="1"/>
  <c r="GV22" i="4"/>
  <c r="GP24" i="4"/>
  <c r="GR23" i="4"/>
  <c r="GQ23" i="4" s="1"/>
  <c r="GT23" i="4" s="1"/>
  <c r="EE19" i="4"/>
  <c r="EH18" i="4"/>
  <c r="EK18" i="4" s="1"/>
  <c r="EG18" i="4"/>
  <c r="EJ18" i="4" s="1"/>
  <c r="BH25" i="4"/>
  <c r="DH20" i="4"/>
  <c r="DJ19" i="4"/>
  <c r="DM19" i="4" s="1"/>
  <c r="DK19" i="4"/>
  <c r="DN19" i="4" s="1"/>
  <c r="DL18" i="4"/>
  <c r="DI18" i="4" s="1"/>
  <c r="EA31" i="3"/>
  <c r="CM6" i="3"/>
  <c r="BJ5" i="3"/>
  <c r="DP6" i="3"/>
  <c r="CY10" i="3"/>
  <c r="CX31" i="3"/>
  <c r="EB10" i="3"/>
  <c r="EI17" i="4"/>
  <c r="EF17" i="4" s="1"/>
  <c r="GR24" i="4" l="1"/>
  <c r="GQ24" i="4" s="1"/>
  <c r="GT24" i="4" s="1"/>
  <c r="GP25" i="4"/>
  <c r="GU23" i="4"/>
  <c r="GV23" i="4"/>
  <c r="EB31" i="3"/>
  <c r="DQ6" i="3"/>
  <c r="DH21" i="4"/>
  <c r="DK20" i="4"/>
  <c r="DN20" i="4" s="1"/>
  <c r="DJ20" i="4"/>
  <c r="DM20" i="4" s="1"/>
  <c r="BH26" i="4"/>
  <c r="BI25" i="4"/>
  <c r="BI24" i="4" s="1"/>
  <c r="CY31" i="3"/>
  <c r="EC10" i="3"/>
  <c r="CZ10" i="3"/>
  <c r="CZ31" i="3" s="1"/>
  <c r="CX32" i="3" s="1"/>
  <c r="DB10" i="3"/>
  <c r="EI18" i="4"/>
  <c r="EF18" i="4" s="1"/>
  <c r="BK5" i="3"/>
  <c r="CN6" i="3"/>
  <c r="DR6" i="3" s="1"/>
  <c r="DL19" i="4"/>
  <c r="DI19" i="4" s="1"/>
  <c r="EE20" i="4"/>
  <c r="EG19" i="4"/>
  <c r="EJ19" i="4" s="1"/>
  <c r="EH19" i="4"/>
  <c r="EK19" i="4" s="1"/>
  <c r="GR25" i="4" l="1"/>
  <c r="GQ25" i="4" s="1"/>
  <c r="GT25" i="4" s="1"/>
  <c r="GP26" i="4"/>
  <c r="GU24" i="4"/>
  <c r="GV24" i="4"/>
  <c r="EI19" i="4"/>
  <c r="EF19" i="4" s="1"/>
  <c r="CX17" i="3"/>
  <c r="CX18" i="3"/>
  <c r="CX15" i="3"/>
  <c r="CX23" i="3" s="1"/>
  <c r="EC31" i="3"/>
  <c r="EC32" i="3" s="1"/>
  <c r="ED10" i="3"/>
  <c r="ED31" i="3" s="1"/>
  <c r="CO6" i="3"/>
  <c r="DS6" i="3" s="1"/>
  <c r="BL5" i="3"/>
  <c r="CY32" i="3"/>
  <c r="DH22" i="4"/>
  <c r="DJ21" i="4"/>
  <c r="DM21" i="4" s="1"/>
  <c r="DK21" i="4"/>
  <c r="DN21" i="4" s="1"/>
  <c r="BH27" i="4"/>
  <c r="CB32" i="3"/>
  <c r="CF32" i="3"/>
  <c r="CN32" i="3"/>
  <c r="CL32" i="3"/>
  <c r="CO32" i="3"/>
  <c r="CJ32" i="3"/>
  <c r="CM32" i="3"/>
  <c r="CE32" i="3"/>
  <c r="CI32" i="3"/>
  <c r="CK32" i="3"/>
  <c r="CH32" i="3"/>
  <c r="CG32" i="3"/>
  <c r="CP32" i="3"/>
  <c r="CC32" i="3"/>
  <c r="CQ32" i="3"/>
  <c r="CR32" i="3"/>
  <c r="CD32" i="3"/>
  <c r="CS32" i="3"/>
  <c r="CT32" i="3"/>
  <c r="CU32" i="3"/>
  <c r="CV32" i="3"/>
  <c r="CW32" i="3"/>
  <c r="EE21" i="4"/>
  <c r="EH20" i="4"/>
  <c r="EK20" i="4" s="1"/>
  <c r="EG20" i="4"/>
  <c r="EJ20" i="4" s="1"/>
  <c r="DL20" i="4"/>
  <c r="DI20" i="4" s="1"/>
  <c r="EB32" i="3"/>
  <c r="GR26" i="4" l="1"/>
  <c r="GQ26" i="4" s="1"/>
  <c r="GT26" i="4" s="1"/>
  <c r="GP27" i="4"/>
  <c r="GV25" i="4"/>
  <c r="GU25" i="4"/>
  <c r="EH21" i="4"/>
  <c r="EK21" i="4" s="1"/>
  <c r="EG21" i="4"/>
  <c r="EJ21" i="4" s="1"/>
  <c r="EE22" i="4"/>
  <c r="CQ15" i="3"/>
  <c r="CQ23" i="3" s="1"/>
  <c r="CQ18" i="3"/>
  <c r="CQ17" i="3"/>
  <c r="CM15" i="3"/>
  <c r="CM23" i="3" s="1"/>
  <c r="CM18" i="3"/>
  <c r="CM17" i="3"/>
  <c r="CW18" i="3"/>
  <c r="CW15" i="3"/>
  <c r="CW23" i="3" s="1"/>
  <c r="CW17" i="3"/>
  <c r="CC15" i="3"/>
  <c r="CC23" i="3" s="1"/>
  <c r="CC18" i="3"/>
  <c r="CC17" i="3"/>
  <c r="CJ15" i="3"/>
  <c r="CJ23" i="3" s="1"/>
  <c r="CJ17" i="3"/>
  <c r="CJ18" i="3"/>
  <c r="EB17" i="3"/>
  <c r="EB15" i="3"/>
  <c r="EB23" i="3" s="1"/>
  <c r="EB18" i="3"/>
  <c r="CU15" i="3"/>
  <c r="CU23" i="3" s="1"/>
  <c r="CU17" i="3"/>
  <c r="CU18" i="3"/>
  <c r="CL18" i="3"/>
  <c r="CL15" i="3"/>
  <c r="CL23" i="3" s="1"/>
  <c r="CL17" i="3"/>
  <c r="DJ32" i="3"/>
  <c r="DF32" i="3"/>
  <c r="DR32" i="3"/>
  <c r="DQ32" i="3"/>
  <c r="DP32" i="3"/>
  <c r="DN32" i="3"/>
  <c r="DS32" i="3"/>
  <c r="DK32" i="3"/>
  <c r="DM32" i="3"/>
  <c r="DI32" i="3"/>
  <c r="DO32" i="3"/>
  <c r="DT32" i="3"/>
  <c r="DL32" i="3"/>
  <c r="DU32" i="3"/>
  <c r="DG32" i="3"/>
  <c r="DV32" i="3"/>
  <c r="DW32" i="3"/>
  <c r="DH32" i="3"/>
  <c r="DX32" i="3"/>
  <c r="DY32" i="3"/>
  <c r="DZ32" i="3"/>
  <c r="EA32" i="3"/>
  <c r="BM5" i="3"/>
  <c r="CP6" i="3"/>
  <c r="DT6" i="3" s="1"/>
  <c r="CV15" i="3"/>
  <c r="CV23" i="3" s="1"/>
  <c r="CV18" i="3"/>
  <c r="CV17" i="3"/>
  <c r="CP18" i="3"/>
  <c r="CP15" i="3"/>
  <c r="CP23" i="3" s="1"/>
  <c r="CP17" i="3"/>
  <c r="CO17" i="3"/>
  <c r="CO18" i="3"/>
  <c r="CO15" i="3"/>
  <c r="CO23" i="3" s="1"/>
  <c r="CG18" i="3"/>
  <c r="CG15" i="3"/>
  <c r="CG23" i="3" s="1"/>
  <c r="CG17" i="3"/>
  <c r="CT17" i="3"/>
  <c r="CT15" i="3"/>
  <c r="CT23" i="3" s="1"/>
  <c r="CT18" i="3"/>
  <c r="CH15" i="3"/>
  <c r="CH23" i="3" s="1"/>
  <c r="CH17" i="3"/>
  <c r="CH18" i="3"/>
  <c r="CN18" i="3"/>
  <c r="CN15" i="3"/>
  <c r="CN23" i="3" s="1"/>
  <c r="CN17" i="3"/>
  <c r="CY18" i="3"/>
  <c r="CY15" i="3"/>
  <c r="CY23" i="3" s="1"/>
  <c r="CY17" i="3"/>
  <c r="EI20" i="4"/>
  <c r="EF20" i="4" s="1"/>
  <c r="CS17" i="3"/>
  <c r="CS18" i="3"/>
  <c r="CS15" i="3"/>
  <c r="CS23" i="3" s="1"/>
  <c r="CK17" i="3"/>
  <c r="CK15" i="3"/>
  <c r="CK23" i="3" s="1"/>
  <c r="CK18" i="3"/>
  <c r="CF18" i="3"/>
  <c r="CF15" i="3"/>
  <c r="CF23" i="3" s="1"/>
  <c r="CF17" i="3"/>
  <c r="EC17" i="3"/>
  <c r="EC18" i="3"/>
  <c r="EC15" i="3"/>
  <c r="EC23" i="3" s="1"/>
  <c r="CD15" i="3"/>
  <c r="CD23" i="3" s="1"/>
  <c r="CD17" i="3"/>
  <c r="CD18" i="3"/>
  <c r="CI15" i="3"/>
  <c r="CI23" i="3" s="1"/>
  <c r="CI17" i="3"/>
  <c r="CI18" i="3"/>
  <c r="CB18" i="3"/>
  <c r="CB15" i="3"/>
  <c r="CB17" i="3"/>
  <c r="DL21" i="4"/>
  <c r="DI21" i="4" s="1"/>
  <c r="CR18" i="3"/>
  <c r="CR17" i="3"/>
  <c r="CR15" i="3"/>
  <c r="CR23" i="3" s="1"/>
  <c r="CE18" i="3"/>
  <c r="CE15" i="3"/>
  <c r="CE23" i="3" s="1"/>
  <c r="CE17" i="3"/>
  <c r="BH28" i="4"/>
  <c r="BI27" i="4"/>
  <c r="BI26" i="4" s="1"/>
  <c r="DJ22" i="4"/>
  <c r="DM22" i="4" s="1"/>
  <c r="DK22" i="4"/>
  <c r="DN22" i="4" s="1"/>
  <c r="DH23" i="4"/>
  <c r="GP28" i="4" l="1"/>
  <c r="GR27" i="4"/>
  <c r="GQ27" i="4" s="1"/>
  <c r="GT27" i="4" s="1"/>
  <c r="GU26" i="4"/>
  <c r="GV26" i="4"/>
  <c r="DX18" i="3"/>
  <c r="DX15" i="3"/>
  <c r="DX23" i="3" s="1"/>
  <c r="DX17" i="3"/>
  <c r="DO15" i="3"/>
  <c r="DO23" i="3" s="1"/>
  <c r="DO18" i="3"/>
  <c r="DO17" i="3"/>
  <c r="DR18" i="3"/>
  <c r="DR15" i="3"/>
  <c r="DR23" i="3" s="1"/>
  <c r="DR17" i="3"/>
  <c r="DH24" i="4"/>
  <c r="DK23" i="4"/>
  <c r="DN23" i="4" s="1"/>
  <c r="DJ23" i="4"/>
  <c r="DM23" i="4" s="1"/>
  <c r="DH15" i="3"/>
  <c r="DH23" i="3" s="1"/>
  <c r="DH17" i="3"/>
  <c r="DH18" i="3"/>
  <c r="DI17" i="3"/>
  <c r="DI15" i="3"/>
  <c r="DI23" i="3" s="1"/>
  <c r="DI18" i="3"/>
  <c r="DF18" i="3"/>
  <c r="DF15" i="3"/>
  <c r="DF17" i="3"/>
  <c r="DT15" i="3"/>
  <c r="DT23" i="3" s="1"/>
  <c r="DT18" i="3"/>
  <c r="DT17" i="3"/>
  <c r="DL22" i="4"/>
  <c r="DI22" i="4" s="1"/>
  <c r="DW18" i="3"/>
  <c r="DW15" i="3"/>
  <c r="DW23" i="3" s="1"/>
  <c r="DW17" i="3"/>
  <c r="DM18" i="3"/>
  <c r="DM17" i="3"/>
  <c r="DM15" i="3"/>
  <c r="DM23" i="3" s="1"/>
  <c r="DJ18" i="3"/>
  <c r="DJ15" i="3"/>
  <c r="DJ23" i="3" s="1"/>
  <c r="DJ17" i="3"/>
  <c r="DQ18" i="3"/>
  <c r="DQ17" i="3"/>
  <c r="DQ15" i="3"/>
  <c r="DQ23" i="3" s="1"/>
  <c r="CQ6" i="3"/>
  <c r="DU6" i="3" s="1"/>
  <c r="BN5" i="3"/>
  <c r="DG18" i="3"/>
  <c r="DG17" i="3"/>
  <c r="DG15" i="3"/>
  <c r="DG23" i="3" s="1"/>
  <c r="DS15" i="3"/>
  <c r="DS23" i="3" s="1"/>
  <c r="DS18" i="3"/>
  <c r="DS17" i="3"/>
  <c r="EI21" i="4"/>
  <c r="EF21" i="4" s="1"/>
  <c r="DY18" i="3"/>
  <c r="DY17" i="3"/>
  <c r="DY15" i="3"/>
  <c r="DY23" i="3" s="1"/>
  <c r="DV17" i="3"/>
  <c r="DV15" i="3"/>
  <c r="DV23" i="3" s="1"/>
  <c r="DV18" i="3"/>
  <c r="BH29" i="4"/>
  <c r="CB63" i="3"/>
  <c r="DB17" i="3"/>
  <c r="EA15" i="3"/>
  <c r="EA23" i="3" s="1"/>
  <c r="EA18" i="3"/>
  <c r="EA17" i="3"/>
  <c r="DU18" i="3"/>
  <c r="DU15" i="3"/>
  <c r="DU23" i="3" s="1"/>
  <c r="DU17" i="3"/>
  <c r="DN17" i="3"/>
  <c r="DN15" i="3"/>
  <c r="DN23" i="3" s="1"/>
  <c r="DN18" i="3"/>
  <c r="CB64" i="3"/>
  <c r="DB18" i="3"/>
  <c r="DK15" i="3"/>
  <c r="DK23" i="3" s="1"/>
  <c r="DK18" i="3"/>
  <c r="DK17" i="3"/>
  <c r="EH22" i="4"/>
  <c r="EK22" i="4" s="1"/>
  <c r="EE23" i="4"/>
  <c r="EG22" i="4"/>
  <c r="EJ22" i="4" s="1"/>
  <c r="DB15" i="3"/>
  <c r="CB23" i="3"/>
  <c r="CB69" i="3" s="1"/>
  <c r="DZ18" i="3"/>
  <c r="DZ15" i="3"/>
  <c r="DZ23" i="3" s="1"/>
  <c r="DZ17" i="3"/>
  <c r="DL18" i="3"/>
  <c r="DL17" i="3"/>
  <c r="DL15" i="3"/>
  <c r="DL23" i="3" s="1"/>
  <c r="DP15" i="3"/>
  <c r="DP23" i="3" s="1"/>
  <c r="DP18" i="3"/>
  <c r="DP17" i="3"/>
  <c r="GV27" i="4" l="1"/>
  <c r="GU27" i="4"/>
  <c r="GP29" i="4"/>
  <c r="GR28" i="4"/>
  <c r="GQ28" i="4" s="1"/>
  <c r="GT28" i="4" s="1"/>
  <c r="EE24" i="4"/>
  <c r="EH23" i="4"/>
  <c r="EK23" i="4" s="1"/>
  <c r="EG23" i="4"/>
  <c r="EJ23" i="4" s="1"/>
  <c r="BO5" i="3"/>
  <c r="CR6" i="3"/>
  <c r="DF63" i="3"/>
  <c r="ED17" i="3"/>
  <c r="ED15" i="3"/>
  <c r="DF23" i="3"/>
  <c r="EI22" i="4"/>
  <c r="EF22" i="4" s="1"/>
  <c r="BH30" i="4"/>
  <c r="BI29" i="4"/>
  <c r="BI28" i="4" s="1"/>
  <c r="ED18" i="3"/>
  <c r="DF64" i="3"/>
  <c r="DL23" i="4"/>
  <c r="DI23" i="4" s="1"/>
  <c r="DJ24" i="4"/>
  <c r="DM24" i="4" s="1"/>
  <c r="DK24" i="4"/>
  <c r="DN24" i="4" s="1"/>
  <c r="DH25" i="4"/>
  <c r="GU28" i="4" l="1"/>
  <c r="GV28" i="4"/>
  <c r="GP30" i="4"/>
  <c r="GR29" i="4"/>
  <c r="GQ29" i="4" s="1"/>
  <c r="GT29" i="4" s="1"/>
  <c r="DL24" i="4"/>
  <c r="DI24" i="4" s="1"/>
  <c r="DV6" i="3"/>
  <c r="BP5" i="3"/>
  <c r="CS6" i="3"/>
  <c r="DW6" i="3" s="1"/>
  <c r="ED23" i="3"/>
  <c r="DF69" i="3"/>
  <c r="BH31" i="4"/>
  <c r="EI23" i="4"/>
  <c r="EF23" i="4" s="1"/>
  <c r="DH26" i="4"/>
  <c r="DJ25" i="4"/>
  <c r="DM25" i="4" s="1"/>
  <c r="DK25" i="4"/>
  <c r="DN25" i="4" s="1"/>
  <c r="EE25" i="4"/>
  <c r="EH24" i="4"/>
  <c r="EK24" i="4" s="1"/>
  <c r="EG24" i="4"/>
  <c r="EJ24" i="4" s="1"/>
  <c r="GV29" i="4" l="1"/>
  <c r="GU29" i="4"/>
  <c r="GR30" i="4"/>
  <c r="GQ30" i="4" s="1"/>
  <c r="GT30" i="4" s="1"/>
  <c r="GP31" i="4"/>
  <c r="DL25" i="4"/>
  <c r="DI25" i="4" s="1"/>
  <c r="CT6" i="3"/>
  <c r="BQ5" i="3"/>
  <c r="DK26" i="4"/>
  <c r="DN26" i="4" s="1"/>
  <c r="DJ26" i="4"/>
  <c r="DM26" i="4" s="1"/>
  <c r="DH27" i="4"/>
  <c r="EI24" i="4"/>
  <c r="EF24" i="4" s="1"/>
  <c r="EE26" i="4"/>
  <c r="EG25" i="4"/>
  <c r="EJ25" i="4" s="1"/>
  <c r="EH25" i="4"/>
  <c r="EK25" i="4" s="1"/>
  <c r="BI31" i="4"/>
  <c r="BI30" i="4" s="1"/>
  <c r="BH32" i="4"/>
  <c r="GP32" i="4" l="1"/>
  <c r="GR31" i="4"/>
  <c r="GQ31" i="4" s="1"/>
  <c r="GT31" i="4" s="1"/>
  <c r="GU30" i="4"/>
  <c r="GV30" i="4"/>
  <c r="EE27" i="4"/>
  <c r="EG26" i="4"/>
  <c r="EJ26" i="4" s="1"/>
  <c r="EH26" i="4"/>
  <c r="EK26" i="4" s="1"/>
  <c r="DH28" i="4"/>
  <c r="DK27" i="4"/>
  <c r="DN27" i="4" s="1"/>
  <c r="DJ27" i="4"/>
  <c r="DM27" i="4" s="1"/>
  <c r="BH33" i="4"/>
  <c r="DL26" i="4"/>
  <c r="DI26" i="4" s="1"/>
  <c r="EI25" i="4"/>
  <c r="EF25" i="4" s="1"/>
  <c r="CU6" i="3"/>
  <c r="DY6" i="3" s="1"/>
  <c r="BR5" i="3"/>
  <c r="DX6" i="3"/>
  <c r="AQ5" i="16"/>
  <c r="AS5" i="16" s="1"/>
  <c r="AR18" i="16"/>
  <c r="AT18" i="16" s="1"/>
  <c r="AR14" i="16"/>
  <c r="AT14" i="16" s="1"/>
  <c r="AQ14" i="16"/>
  <c r="AS14" i="16" s="1"/>
  <c r="AR12" i="16"/>
  <c r="AT12" i="16" s="1"/>
  <c r="AR16" i="16"/>
  <c r="AT16" i="16" s="1"/>
  <c r="AQ18" i="16"/>
  <c r="AS18" i="16" s="1"/>
  <c r="AR10" i="16"/>
  <c r="AT10" i="16" s="1"/>
  <c r="AR13" i="16"/>
  <c r="AT13" i="16" s="1"/>
  <c r="AQ17" i="16"/>
  <c r="AS17" i="16" s="1"/>
  <c r="AS26" i="16" s="1"/>
  <c r="AQ26" i="16" s="1"/>
  <c r="AR5" i="16"/>
  <c r="AT5" i="16" s="1"/>
  <c r="AQ9" i="16"/>
  <c r="AS9" i="16" s="1"/>
  <c r="AQ13" i="16"/>
  <c r="AS13" i="16" s="1"/>
  <c r="AR9" i="16"/>
  <c r="AT9" i="16" s="1"/>
  <c r="AR11" i="16"/>
  <c r="AT11" i="16" s="1"/>
  <c r="AQ16" i="16"/>
  <c r="AS16" i="16" s="1"/>
  <c r="AQ12" i="16"/>
  <c r="AS12" i="16" s="1"/>
  <c r="AQ11" i="16"/>
  <c r="AS11" i="16" s="1"/>
  <c r="AF3" i="16" s="1"/>
  <c r="AR6" i="16"/>
  <c r="AT6" i="16" s="1"/>
  <c r="AQ10" i="16"/>
  <c r="AS10" i="16" s="1"/>
  <c r="AQ6" i="16"/>
  <c r="AS6" i="16" s="1"/>
  <c r="AR17" i="16"/>
  <c r="AT17" i="16" s="1"/>
  <c r="AT26" i="16" s="1"/>
  <c r="AR26" i="16" s="1"/>
  <c r="AT25" i="16" l="1"/>
  <c r="AR25" i="16" s="1"/>
  <c r="AS25" i="16"/>
  <c r="AQ25" i="16" s="1"/>
  <c r="GU31" i="4"/>
  <c r="GV31" i="4"/>
  <c r="GR32" i="4"/>
  <c r="GQ32" i="4" s="1"/>
  <c r="GT32" i="4" s="1"/>
  <c r="GP33" i="4"/>
  <c r="Z3" i="16"/>
  <c r="Z4" i="16" s="1"/>
  <c r="DL27" i="4"/>
  <c r="DI27" i="4" s="1"/>
  <c r="BS5" i="3"/>
  <c r="CV6" i="3"/>
  <c r="DZ6" i="3" s="1"/>
  <c r="DH29" i="4"/>
  <c r="DK28" i="4"/>
  <c r="DN28" i="4" s="1"/>
  <c r="DJ28" i="4"/>
  <c r="DM28" i="4" s="1"/>
  <c r="EI26" i="4"/>
  <c r="EF26" i="4" s="1"/>
  <c r="AS23" i="16"/>
  <c r="AT23" i="16"/>
  <c r="BI33" i="4"/>
  <c r="BI32" i="4" s="1"/>
  <c r="BH34" i="4"/>
  <c r="EE28" i="4"/>
  <c r="EH27" i="4"/>
  <c r="EK27" i="4" s="1"/>
  <c r="EG27" i="4"/>
  <c r="EJ27" i="4" s="1"/>
  <c r="Z11" i="16" l="1"/>
  <c r="AA11" i="16" s="1"/>
  <c r="Z12" i="16"/>
  <c r="AA12" i="16" s="1"/>
  <c r="Z9" i="16"/>
  <c r="Z10" i="16"/>
  <c r="Z8" i="16"/>
  <c r="AA8" i="16" s="1"/>
  <c r="Z7" i="16"/>
  <c r="GU32" i="4"/>
  <c r="GV32" i="4"/>
  <c r="GR33" i="4"/>
  <c r="GQ33" i="4" s="1"/>
  <c r="GT33" i="4" s="1"/>
  <c r="GP34" i="4"/>
  <c r="AA9" i="16"/>
  <c r="AA10" i="16"/>
  <c r="EI27" i="4"/>
  <c r="EF27" i="4" s="1"/>
  <c r="AQ23" i="16"/>
  <c r="EH28" i="4"/>
  <c r="EK28" i="4" s="1"/>
  <c r="EE29" i="4"/>
  <c r="EG28" i="4"/>
  <c r="EJ28" i="4" s="1"/>
  <c r="BH35" i="4"/>
  <c r="DL28" i="4"/>
  <c r="DI28" i="4" s="1"/>
  <c r="DH30" i="4"/>
  <c r="DK29" i="4"/>
  <c r="DN29" i="4" s="1"/>
  <c r="DJ29" i="4"/>
  <c r="DM29" i="4" s="1"/>
  <c r="AR23" i="16"/>
  <c r="CW6" i="3"/>
  <c r="EA6" i="3" s="1"/>
  <c r="BT5" i="3"/>
  <c r="P15" i="16" l="1"/>
  <c r="Z15" i="16"/>
  <c r="GR34" i="4"/>
  <c r="GQ34" i="4" s="1"/>
  <c r="GT34" i="4" s="1"/>
  <c r="GP35" i="4"/>
  <c r="GV33" i="4"/>
  <c r="GU33" i="4"/>
  <c r="AA7" i="16"/>
  <c r="P22" i="16" s="1"/>
  <c r="BH36" i="4"/>
  <c r="BI35" i="4"/>
  <c r="BI34" i="4" s="1"/>
  <c r="DL29" i="4"/>
  <c r="DI29" i="4" s="1"/>
  <c r="DH31" i="4"/>
  <c r="DJ30" i="4"/>
  <c r="DM30" i="4" s="1"/>
  <c r="DK30" i="4"/>
  <c r="DN30" i="4" s="1"/>
  <c r="EG29" i="4"/>
  <c r="EJ29" i="4" s="1"/>
  <c r="EE30" i="4"/>
  <c r="EH29" i="4"/>
  <c r="EK29" i="4" s="1"/>
  <c r="CX6" i="3"/>
  <c r="EB6" i="3" s="1"/>
  <c r="BU5" i="3"/>
  <c r="CY6" i="3" s="1"/>
  <c r="EC6" i="3" s="1"/>
  <c r="EI28" i="4"/>
  <c r="EF28" i="4" s="1"/>
  <c r="AA15" i="16" l="1"/>
  <c r="GP36" i="4"/>
  <c r="GR35" i="4"/>
  <c r="GQ35" i="4" s="1"/>
  <c r="GT35" i="4" s="1"/>
  <c r="GV34" i="4"/>
  <c r="GU34" i="4"/>
  <c r="EH30" i="4"/>
  <c r="EK30" i="4" s="1"/>
  <c r="EE31" i="4"/>
  <c r="EG30" i="4"/>
  <c r="EJ30" i="4" s="1"/>
  <c r="DK31" i="4"/>
  <c r="DN31" i="4" s="1"/>
  <c r="DH32" i="4"/>
  <c r="DJ31" i="4"/>
  <c r="DM31" i="4" s="1"/>
  <c r="DL30" i="4"/>
  <c r="DI30" i="4" s="1"/>
  <c r="EI29" i="4"/>
  <c r="EF29" i="4" s="1"/>
  <c r="BH37" i="4"/>
  <c r="GP37" i="4" l="1"/>
  <c r="GR36" i="4"/>
  <c r="GQ36" i="4" s="1"/>
  <c r="GT36" i="4" s="1"/>
  <c r="GU35" i="4"/>
  <c r="GV35" i="4"/>
  <c r="DL31" i="4"/>
  <c r="DI31" i="4" s="1"/>
  <c r="EE32" i="4"/>
  <c r="EH31" i="4"/>
  <c r="EK31" i="4" s="1"/>
  <c r="EG31" i="4"/>
  <c r="EJ31" i="4" s="1"/>
  <c r="DK32" i="4"/>
  <c r="DN32" i="4" s="1"/>
  <c r="DH33" i="4"/>
  <c r="DJ32" i="4"/>
  <c r="DM32" i="4" s="1"/>
  <c r="BI37" i="4"/>
  <c r="BI36" i="4" s="1"/>
  <c r="BH38" i="4"/>
  <c r="EI30" i="4"/>
  <c r="EF30" i="4" s="1"/>
  <c r="GU36" i="4" l="1"/>
  <c r="GV36" i="4"/>
  <c r="GP38" i="4"/>
  <c r="GR37" i="4"/>
  <c r="GQ37" i="4" s="1"/>
  <c r="GT37" i="4" s="1"/>
  <c r="EI31" i="4"/>
  <c r="EF31" i="4" s="1"/>
  <c r="DK33" i="4"/>
  <c r="DN33" i="4" s="1"/>
  <c r="DH34" i="4"/>
  <c r="DJ33" i="4"/>
  <c r="DM33" i="4" s="1"/>
  <c r="BH39" i="4"/>
  <c r="EH32" i="4"/>
  <c r="EK32" i="4" s="1"/>
  <c r="EE33" i="4"/>
  <c r="EG32" i="4"/>
  <c r="EJ32" i="4" s="1"/>
  <c r="DL32" i="4"/>
  <c r="DI32" i="4" s="1"/>
  <c r="GU37" i="4" l="1"/>
  <c r="GV37" i="4"/>
  <c r="GP39" i="4"/>
  <c r="GR38" i="4"/>
  <c r="GQ38" i="4" s="1"/>
  <c r="GT38" i="4" s="1"/>
  <c r="EI32" i="4"/>
  <c r="EF32" i="4" s="1"/>
  <c r="DL33" i="4"/>
  <c r="DI33" i="4" s="1"/>
  <c r="BH40" i="4"/>
  <c r="BI39" i="4"/>
  <c r="BI38" i="4" s="1"/>
  <c r="DJ34" i="4"/>
  <c r="DM34" i="4" s="1"/>
  <c r="DK34" i="4"/>
  <c r="DN34" i="4" s="1"/>
  <c r="DH35" i="4"/>
  <c r="EG33" i="4"/>
  <c r="EJ33" i="4" s="1"/>
  <c r="EH33" i="4"/>
  <c r="EK33" i="4" s="1"/>
  <c r="EE34" i="4"/>
  <c r="GV38" i="4" l="1"/>
  <c r="GU38" i="4"/>
  <c r="GP40" i="4"/>
  <c r="GR39" i="4"/>
  <c r="GQ39" i="4" s="1"/>
  <c r="GT39" i="4" s="1"/>
  <c r="EI33" i="4"/>
  <c r="EF33" i="4" s="1"/>
  <c r="DL34" i="4"/>
  <c r="DI34" i="4" s="1"/>
  <c r="DH36" i="4"/>
  <c r="DK35" i="4"/>
  <c r="DN35" i="4" s="1"/>
  <c r="DJ35" i="4"/>
  <c r="DM35" i="4" s="1"/>
  <c r="EH34" i="4"/>
  <c r="EK34" i="4" s="1"/>
  <c r="EE35" i="4"/>
  <c r="EG34" i="4"/>
  <c r="EJ34" i="4" s="1"/>
  <c r="BH41" i="4"/>
  <c r="GU39" i="4" l="1"/>
  <c r="GV39" i="4"/>
  <c r="GR40" i="4"/>
  <c r="GQ40" i="4" s="1"/>
  <c r="GT40" i="4" s="1"/>
  <c r="GP41" i="4"/>
  <c r="EH35" i="4"/>
  <c r="EK35" i="4" s="1"/>
  <c r="EG35" i="4"/>
  <c r="EJ35" i="4" s="1"/>
  <c r="EE36" i="4"/>
  <c r="DL35" i="4"/>
  <c r="DI35" i="4" s="1"/>
  <c r="BI41" i="4"/>
  <c r="BI40" i="4" s="1"/>
  <c r="BH42" i="4"/>
  <c r="DH37" i="4"/>
  <c r="DK36" i="4"/>
  <c r="DN36" i="4" s="1"/>
  <c r="DJ36" i="4"/>
  <c r="DM36" i="4" s="1"/>
  <c r="EI34" i="4"/>
  <c r="EF34" i="4" s="1"/>
  <c r="GR41" i="4" l="1"/>
  <c r="GQ41" i="4" s="1"/>
  <c r="GT41" i="4" s="1"/>
  <c r="GP42" i="4"/>
  <c r="GV40" i="4"/>
  <c r="GU40" i="4"/>
  <c r="EI35" i="4"/>
  <c r="EF35" i="4" s="1"/>
  <c r="DK37" i="4"/>
  <c r="DN37" i="4" s="1"/>
  <c r="DH38" i="4"/>
  <c r="DJ37" i="4"/>
  <c r="DM37" i="4" s="1"/>
  <c r="BH43" i="4"/>
  <c r="DL36" i="4"/>
  <c r="DI36" i="4" s="1"/>
  <c r="EG36" i="4"/>
  <c r="EJ36" i="4" s="1"/>
  <c r="EH36" i="4"/>
  <c r="EK36" i="4" s="1"/>
  <c r="EE37" i="4"/>
  <c r="GU41" i="4" l="1"/>
  <c r="GV41" i="4"/>
  <c r="GR42" i="4"/>
  <c r="GQ42" i="4" s="1"/>
  <c r="GT42" i="4" s="1"/>
  <c r="GP43" i="4"/>
  <c r="BH44" i="4"/>
  <c r="BI43" i="4"/>
  <c r="BI42" i="4" s="1"/>
  <c r="DL37" i="4"/>
  <c r="DI37" i="4" s="1"/>
  <c r="EI36" i="4"/>
  <c r="EF36" i="4" s="1"/>
  <c r="EE38" i="4"/>
  <c r="EG37" i="4"/>
  <c r="EJ37" i="4" s="1"/>
  <c r="EH37" i="4"/>
  <c r="EK37" i="4" s="1"/>
  <c r="DH39" i="4"/>
  <c r="DJ38" i="4"/>
  <c r="DM38" i="4" s="1"/>
  <c r="DK38" i="4"/>
  <c r="DN38" i="4" s="1"/>
  <c r="GP44" i="4" l="1"/>
  <c r="GR43" i="4"/>
  <c r="GQ43" i="4" s="1"/>
  <c r="GT43" i="4" s="1"/>
  <c r="GV42" i="4"/>
  <c r="GU42" i="4"/>
  <c r="EI37" i="4"/>
  <c r="EF37" i="4" s="1"/>
  <c r="EE39" i="4"/>
  <c r="EH38" i="4"/>
  <c r="EK38" i="4" s="1"/>
  <c r="EG38" i="4"/>
  <c r="EJ38" i="4" s="1"/>
  <c r="DL38" i="4"/>
  <c r="DI38" i="4" s="1"/>
  <c r="DJ39" i="4"/>
  <c r="DM39" i="4" s="1"/>
  <c r="DH40" i="4"/>
  <c r="DK39" i="4"/>
  <c r="DN39" i="4" s="1"/>
  <c r="BH45" i="4"/>
  <c r="GP45" i="4" l="1"/>
  <c r="GR44" i="4"/>
  <c r="GQ44" i="4" s="1"/>
  <c r="GT44" i="4" s="1"/>
  <c r="GV43" i="4"/>
  <c r="GU43" i="4"/>
  <c r="EI38" i="4"/>
  <c r="EF38" i="4" s="1"/>
  <c r="DK40" i="4"/>
  <c r="DN40" i="4" s="1"/>
  <c r="DJ40" i="4"/>
  <c r="DM40" i="4" s="1"/>
  <c r="DH41" i="4"/>
  <c r="BH46" i="4"/>
  <c r="BI45" i="4"/>
  <c r="BI44" i="4" s="1"/>
  <c r="DL39" i="4"/>
  <c r="DI39" i="4" s="1"/>
  <c r="EE40" i="4"/>
  <c r="EG39" i="4"/>
  <c r="EJ39" i="4" s="1"/>
  <c r="EH39" i="4"/>
  <c r="EK39" i="4" s="1"/>
  <c r="GR45" i="4" l="1"/>
  <c r="GQ45" i="4" s="1"/>
  <c r="GT45" i="4" s="1"/>
  <c r="GP46" i="4"/>
  <c r="GU44" i="4"/>
  <c r="GV44" i="4"/>
  <c r="EG40" i="4"/>
  <c r="EJ40" i="4" s="1"/>
  <c r="EH40" i="4"/>
  <c r="EK40" i="4" s="1"/>
  <c r="EE41" i="4"/>
  <c r="BH47" i="4"/>
  <c r="DL40" i="4"/>
  <c r="DI40" i="4" s="1"/>
  <c r="EI39" i="4"/>
  <c r="EF39" i="4" s="1"/>
  <c r="DJ41" i="4"/>
  <c r="DM41" i="4" s="1"/>
  <c r="DK41" i="4"/>
  <c r="DN41" i="4" s="1"/>
  <c r="DH42" i="4"/>
  <c r="GV45" i="4" l="1"/>
  <c r="GU45" i="4"/>
  <c r="GR46" i="4"/>
  <c r="GQ46" i="4" s="1"/>
  <c r="GT46" i="4" s="1"/>
  <c r="GP47" i="4"/>
  <c r="DL41" i="4"/>
  <c r="DI41" i="4" s="1"/>
  <c r="EE42" i="4"/>
  <c r="EG41" i="4"/>
  <c r="EJ41" i="4" s="1"/>
  <c r="EH41" i="4"/>
  <c r="EK41" i="4" s="1"/>
  <c r="DJ42" i="4"/>
  <c r="DM42" i="4" s="1"/>
  <c r="DK42" i="4"/>
  <c r="DN42" i="4" s="1"/>
  <c r="DH43" i="4"/>
  <c r="EI40" i="4"/>
  <c r="EF40" i="4" s="1"/>
  <c r="BI47" i="4"/>
  <c r="BI46" i="4" s="1"/>
  <c r="BH48" i="4"/>
  <c r="GR47" i="4" l="1"/>
  <c r="GQ47" i="4" s="1"/>
  <c r="GT47" i="4" s="1"/>
  <c r="GP48" i="4"/>
  <c r="GU46" i="4"/>
  <c r="GV46" i="4"/>
  <c r="DL42" i="4"/>
  <c r="DI42" i="4" s="1"/>
  <c r="BH49" i="4"/>
  <c r="EI41" i="4"/>
  <c r="EF41" i="4" s="1"/>
  <c r="EG42" i="4"/>
  <c r="EJ42" i="4" s="1"/>
  <c r="EE43" i="4"/>
  <c r="EH42" i="4"/>
  <c r="EK42" i="4" s="1"/>
  <c r="DH44" i="4"/>
  <c r="DJ43" i="4"/>
  <c r="DM43" i="4" s="1"/>
  <c r="DK43" i="4"/>
  <c r="DN43" i="4" s="1"/>
  <c r="GR48" i="4" l="1"/>
  <c r="GQ48" i="4" s="1"/>
  <c r="GT48" i="4" s="1"/>
  <c r="GP49" i="4"/>
  <c r="GU47" i="4"/>
  <c r="GV47" i="4"/>
  <c r="EE44" i="4"/>
  <c r="EG43" i="4"/>
  <c r="EJ43" i="4" s="1"/>
  <c r="EH43" i="4"/>
  <c r="EK43" i="4" s="1"/>
  <c r="EI42" i="4"/>
  <c r="EF42" i="4" s="1"/>
  <c r="BH50" i="4"/>
  <c r="BI49" i="4"/>
  <c r="BI48" i="4" s="1"/>
  <c r="DL43" i="4"/>
  <c r="DI43" i="4" s="1"/>
  <c r="DH45" i="4"/>
  <c r="DJ44" i="4"/>
  <c r="DM44" i="4" s="1"/>
  <c r="DK44" i="4"/>
  <c r="DN44" i="4" s="1"/>
  <c r="GR49" i="4" l="1"/>
  <c r="GQ49" i="4" s="1"/>
  <c r="GT49" i="4" s="1"/>
  <c r="GP50" i="4"/>
  <c r="GU48" i="4"/>
  <c r="GV48" i="4"/>
  <c r="EI43" i="4"/>
  <c r="BH51" i="4"/>
  <c r="DL44" i="4"/>
  <c r="DI44" i="4" s="1"/>
  <c r="EF43" i="4"/>
  <c r="DH46" i="4"/>
  <c r="DJ45" i="4"/>
  <c r="DM45" i="4" s="1"/>
  <c r="DK45" i="4"/>
  <c r="DN45" i="4" s="1"/>
  <c r="EE45" i="4"/>
  <c r="EG44" i="4"/>
  <c r="EJ44" i="4" s="1"/>
  <c r="EH44" i="4"/>
  <c r="EK44" i="4" s="1"/>
  <c r="GV49" i="4" l="1"/>
  <c r="GU49" i="4"/>
  <c r="GR50" i="4"/>
  <c r="GQ50" i="4" s="1"/>
  <c r="GT50" i="4" s="1"/>
  <c r="GP51" i="4"/>
  <c r="DL45" i="4"/>
  <c r="DI45" i="4" s="1"/>
  <c r="EI44" i="4"/>
  <c r="EF44" i="4" s="1"/>
  <c r="DH47" i="4"/>
  <c r="DJ46" i="4"/>
  <c r="DM46" i="4" s="1"/>
  <c r="DK46" i="4"/>
  <c r="DN46" i="4" s="1"/>
  <c r="EG45" i="4"/>
  <c r="EJ45" i="4" s="1"/>
  <c r="EH45" i="4"/>
  <c r="EK45" i="4" s="1"/>
  <c r="EE46" i="4"/>
  <c r="BI51" i="4"/>
  <c r="BI50" i="4" s="1"/>
  <c r="BH52" i="4"/>
  <c r="GV50" i="4" l="1"/>
  <c r="GU50" i="4"/>
  <c r="GP52" i="4"/>
  <c r="GR51" i="4"/>
  <c r="GQ51" i="4" s="1"/>
  <c r="GT51" i="4" s="1"/>
  <c r="EI45" i="4"/>
  <c r="EF45" i="4" s="1"/>
  <c r="DL46" i="4"/>
  <c r="DI46" i="4" s="1"/>
  <c r="DJ47" i="4"/>
  <c r="DM47" i="4" s="1"/>
  <c r="DK47" i="4"/>
  <c r="DN47" i="4" s="1"/>
  <c r="DH48" i="4"/>
  <c r="BH53" i="4"/>
  <c r="EH46" i="4"/>
  <c r="EK46" i="4" s="1"/>
  <c r="EE47" i="4"/>
  <c r="EG46" i="4"/>
  <c r="EJ46" i="4" s="1"/>
  <c r="GV51" i="4" l="1"/>
  <c r="GU51" i="4"/>
  <c r="GP53" i="4"/>
  <c r="GR52" i="4"/>
  <c r="GQ52" i="4" s="1"/>
  <c r="GT52" i="4" s="1"/>
  <c r="BI53" i="4"/>
  <c r="BI52" i="4" s="1"/>
  <c r="BH54" i="4"/>
  <c r="DH49" i="4"/>
  <c r="DK48" i="4"/>
  <c r="DN48" i="4" s="1"/>
  <c r="DJ48" i="4"/>
  <c r="DM48" i="4" s="1"/>
  <c r="EI46" i="4"/>
  <c r="EF46" i="4" s="1"/>
  <c r="DL47" i="4"/>
  <c r="DI47" i="4" s="1"/>
  <c r="EE48" i="4"/>
  <c r="EH47" i="4"/>
  <c r="EK47" i="4" s="1"/>
  <c r="EG47" i="4"/>
  <c r="EJ47" i="4" s="1"/>
  <c r="GV52" i="4" l="1"/>
  <c r="GU52" i="4"/>
  <c r="GR53" i="4"/>
  <c r="GQ53" i="4" s="1"/>
  <c r="GT53" i="4" s="1"/>
  <c r="GP54" i="4"/>
  <c r="EI47" i="4"/>
  <c r="EF47" i="4" s="1"/>
  <c r="DH50" i="4"/>
  <c r="DK49" i="4"/>
  <c r="DN49" i="4" s="1"/>
  <c r="DJ49" i="4"/>
  <c r="DM49" i="4" s="1"/>
  <c r="DL48" i="4"/>
  <c r="DI48" i="4" s="1"/>
  <c r="BH55" i="4"/>
  <c r="EE49" i="4"/>
  <c r="EH48" i="4"/>
  <c r="EK48" i="4" s="1"/>
  <c r="EG48" i="4"/>
  <c r="EJ48" i="4" s="1"/>
  <c r="GR54" i="4" l="1"/>
  <c r="GQ54" i="4" s="1"/>
  <c r="GT54" i="4" s="1"/>
  <c r="GP55" i="4"/>
  <c r="GU53" i="4"/>
  <c r="GV53" i="4"/>
  <c r="BH56" i="4"/>
  <c r="BI55" i="4"/>
  <c r="BI54" i="4" s="1"/>
  <c r="EI48" i="4"/>
  <c r="EF48" i="4" s="1"/>
  <c r="DH51" i="4"/>
  <c r="DK50" i="4"/>
  <c r="DN50" i="4" s="1"/>
  <c r="DJ50" i="4"/>
  <c r="DM50" i="4" s="1"/>
  <c r="DL49" i="4"/>
  <c r="DI49" i="4" s="1"/>
  <c r="EE50" i="4"/>
  <c r="EG49" i="4"/>
  <c r="EJ49" i="4" s="1"/>
  <c r="EH49" i="4"/>
  <c r="EK49" i="4" s="1"/>
  <c r="GP56" i="4" l="1"/>
  <c r="GR55" i="4"/>
  <c r="GQ55" i="4" s="1"/>
  <c r="GT55" i="4" s="1"/>
  <c r="GU54" i="4"/>
  <c r="GV54" i="4"/>
  <c r="DK51" i="4"/>
  <c r="DN51" i="4" s="1"/>
  <c r="DH52" i="4"/>
  <c r="DJ51" i="4"/>
  <c r="DM51" i="4" s="1"/>
  <c r="DL50" i="4"/>
  <c r="DI50" i="4" s="1"/>
  <c r="EH50" i="4"/>
  <c r="EK50" i="4" s="1"/>
  <c r="EE51" i="4"/>
  <c r="EG50" i="4"/>
  <c r="EJ50" i="4" s="1"/>
  <c r="EI49" i="4"/>
  <c r="EF49" i="4" s="1"/>
  <c r="BH57" i="4"/>
  <c r="DL51" i="4" l="1"/>
  <c r="GU55" i="4"/>
  <c r="GV55" i="4"/>
  <c r="GR56" i="4"/>
  <c r="GQ56" i="4" s="1"/>
  <c r="GT56" i="4" s="1"/>
  <c r="GP57" i="4"/>
  <c r="EI50" i="4"/>
  <c r="EF50" i="4" s="1"/>
  <c r="DK52" i="4"/>
  <c r="DN52" i="4" s="1"/>
  <c r="DH53" i="4"/>
  <c r="DJ52" i="4"/>
  <c r="DM52" i="4" s="1"/>
  <c r="EH51" i="4"/>
  <c r="EK51" i="4" s="1"/>
  <c r="EE52" i="4"/>
  <c r="EG51" i="4"/>
  <c r="EJ51" i="4" s="1"/>
  <c r="DI51" i="4"/>
  <c r="BH58" i="4"/>
  <c r="BI57" i="4"/>
  <c r="BI56" i="4" s="1"/>
  <c r="GU56" i="4" l="1"/>
  <c r="GV56" i="4"/>
  <c r="GR57" i="4"/>
  <c r="GQ57" i="4" s="1"/>
  <c r="GT57" i="4" s="1"/>
  <c r="GP58" i="4"/>
  <c r="BH59" i="4"/>
  <c r="DH54" i="4"/>
  <c r="DJ53" i="4"/>
  <c r="DM53" i="4" s="1"/>
  <c r="DK53" i="4"/>
  <c r="DN53" i="4" s="1"/>
  <c r="EI51" i="4"/>
  <c r="EF51" i="4" s="1"/>
  <c r="DL52" i="4"/>
  <c r="DI52" i="4" s="1"/>
  <c r="EE53" i="4"/>
  <c r="EH52" i="4"/>
  <c r="EK52" i="4" s="1"/>
  <c r="EG52" i="4"/>
  <c r="EJ52" i="4" s="1"/>
  <c r="GR58" i="4" l="1"/>
  <c r="GQ58" i="4" s="1"/>
  <c r="GT58" i="4" s="1"/>
  <c r="GP59" i="4"/>
  <c r="GV57" i="4"/>
  <c r="GU57" i="4"/>
  <c r="EI52" i="4"/>
  <c r="EF52" i="4" s="1"/>
  <c r="DH55" i="4"/>
  <c r="DJ54" i="4"/>
  <c r="DM54" i="4" s="1"/>
  <c r="DK54" i="4"/>
  <c r="DN54" i="4" s="1"/>
  <c r="DL53" i="4"/>
  <c r="DI53" i="4" s="1"/>
  <c r="EH53" i="4"/>
  <c r="EK53" i="4" s="1"/>
  <c r="EG53" i="4"/>
  <c r="EJ53" i="4" s="1"/>
  <c r="EE54" i="4"/>
  <c r="BI59" i="4"/>
  <c r="BI58" i="4" s="1"/>
  <c r="BH60" i="4"/>
  <c r="GV58" i="4" l="1"/>
  <c r="GU58" i="4"/>
  <c r="GP60" i="4"/>
  <c r="GR59" i="4"/>
  <c r="GQ59" i="4" s="1"/>
  <c r="GT59" i="4" s="1"/>
  <c r="BH61" i="4"/>
  <c r="DL54" i="4"/>
  <c r="DI54" i="4" s="1"/>
  <c r="DJ55" i="4"/>
  <c r="DM55" i="4" s="1"/>
  <c r="DH56" i="4"/>
  <c r="DK55" i="4"/>
  <c r="DN55" i="4" s="1"/>
  <c r="EG54" i="4"/>
  <c r="EJ54" i="4" s="1"/>
  <c r="EH54" i="4"/>
  <c r="EK54" i="4" s="1"/>
  <c r="EE55" i="4"/>
  <c r="EI53" i="4"/>
  <c r="EF53" i="4" s="1"/>
  <c r="GU59" i="4" l="1"/>
  <c r="GV59" i="4"/>
  <c r="GP61" i="4"/>
  <c r="GR60" i="4"/>
  <c r="GQ60" i="4" s="1"/>
  <c r="GT60" i="4" s="1"/>
  <c r="EI54" i="4"/>
  <c r="EF54" i="4" s="1"/>
  <c r="DH57" i="4"/>
  <c r="DJ56" i="4"/>
  <c r="DM56" i="4" s="1"/>
  <c r="DK56" i="4"/>
  <c r="DN56" i="4" s="1"/>
  <c r="EE56" i="4"/>
  <c r="EG55" i="4"/>
  <c r="EJ55" i="4" s="1"/>
  <c r="EH55" i="4"/>
  <c r="EK55" i="4" s="1"/>
  <c r="DL55" i="4"/>
  <c r="DI55" i="4" s="1"/>
  <c r="BH62" i="4"/>
  <c r="BI61" i="4"/>
  <c r="BI60" i="4" s="1"/>
  <c r="GV60" i="4" l="1"/>
  <c r="GU60" i="4"/>
  <c r="GR61" i="4"/>
  <c r="GQ61" i="4" s="1"/>
  <c r="GT61" i="4" s="1"/>
  <c r="GP62" i="4"/>
  <c r="EG56" i="4"/>
  <c r="EJ56" i="4" s="1"/>
  <c r="EH56" i="4"/>
  <c r="EK56" i="4" s="1"/>
  <c r="EE57" i="4"/>
  <c r="DL56" i="4"/>
  <c r="DI56" i="4" s="1"/>
  <c r="BH63" i="4"/>
  <c r="DJ57" i="4"/>
  <c r="DM57" i="4" s="1"/>
  <c r="DH58" i="4"/>
  <c r="DK57" i="4"/>
  <c r="DN57" i="4" s="1"/>
  <c r="EI55" i="4"/>
  <c r="EF55" i="4" s="1"/>
  <c r="GU61" i="4" l="1"/>
  <c r="GV61" i="4"/>
  <c r="GP63" i="4"/>
  <c r="GR62" i="4"/>
  <c r="GQ62" i="4" s="1"/>
  <c r="GT62" i="4" s="1"/>
  <c r="EE58" i="4"/>
  <c r="EH57" i="4"/>
  <c r="EK57" i="4" s="1"/>
  <c r="EG57" i="4"/>
  <c r="EJ57" i="4" s="1"/>
  <c r="BI63" i="4"/>
  <c r="BI62" i="4" s="1"/>
  <c r="BH64" i="4"/>
  <c r="DJ58" i="4"/>
  <c r="DM58" i="4" s="1"/>
  <c r="DK58" i="4"/>
  <c r="DN58" i="4" s="1"/>
  <c r="DH59" i="4"/>
  <c r="EI56" i="4"/>
  <c r="EF56" i="4" s="1"/>
  <c r="DL57" i="4"/>
  <c r="DI57" i="4" s="1"/>
  <c r="GU62" i="4" l="1"/>
  <c r="GV62" i="4"/>
  <c r="GP64" i="4"/>
  <c r="GR63" i="4"/>
  <c r="GQ63" i="4" s="1"/>
  <c r="GT63" i="4" s="1"/>
  <c r="DK59" i="4"/>
  <c r="DN59" i="4" s="1"/>
  <c r="DJ59" i="4"/>
  <c r="DM59" i="4" s="1"/>
  <c r="DH60" i="4"/>
  <c r="BH65" i="4"/>
  <c r="EE59" i="4"/>
  <c r="EG58" i="4"/>
  <c r="EJ58" i="4" s="1"/>
  <c r="EH58" i="4"/>
  <c r="EK58" i="4" s="1"/>
  <c r="DL58" i="4"/>
  <c r="DI58" i="4" s="1"/>
  <c r="EI57" i="4"/>
  <c r="EF57" i="4" s="1"/>
  <c r="GU63" i="4" l="1"/>
  <c r="GV63" i="4"/>
  <c r="GR64" i="4"/>
  <c r="GQ64" i="4" s="1"/>
  <c r="GT64" i="4" s="1"/>
  <c r="GP65" i="4"/>
  <c r="EI58" i="4"/>
  <c r="EF58" i="4" s="1"/>
  <c r="EH59" i="4"/>
  <c r="EK59" i="4" s="1"/>
  <c r="EG59" i="4"/>
  <c r="EJ59" i="4" s="1"/>
  <c r="EE60" i="4"/>
  <c r="DK60" i="4"/>
  <c r="DN60" i="4" s="1"/>
  <c r="DH61" i="4"/>
  <c r="DJ60" i="4"/>
  <c r="DM60" i="4" s="1"/>
  <c r="BH66" i="4"/>
  <c r="BI65" i="4"/>
  <c r="BI64" i="4" s="1"/>
  <c r="DL59" i="4"/>
  <c r="DI59" i="4" s="1"/>
  <c r="GR65" i="4" l="1"/>
  <c r="GQ65" i="4" s="1"/>
  <c r="GT65" i="4" s="1"/>
  <c r="GP66" i="4"/>
  <c r="GV64" i="4"/>
  <c r="GU64" i="4"/>
  <c r="DK61" i="4"/>
  <c r="DN61" i="4" s="1"/>
  <c r="DH62" i="4"/>
  <c r="DJ61" i="4"/>
  <c r="DM61" i="4" s="1"/>
  <c r="DL60" i="4"/>
  <c r="DI60" i="4" s="1"/>
  <c r="EI59" i="4"/>
  <c r="EF59" i="4" s="1"/>
  <c r="EH60" i="4"/>
  <c r="EK60" i="4" s="1"/>
  <c r="EG60" i="4"/>
  <c r="EJ60" i="4" s="1"/>
  <c r="EE61" i="4"/>
  <c r="BH67" i="4"/>
  <c r="GR66" i="4" l="1"/>
  <c r="GQ66" i="4" s="1"/>
  <c r="GT66" i="4" s="1"/>
  <c r="GP67" i="4"/>
  <c r="GV65" i="4"/>
  <c r="GU65" i="4"/>
  <c r="BI67" i="4"/>
  <c r="BI66" i="4" s="1"/>
  <c r="BH68" i="4"/>
  <c r="DL61" i="4"/>
  <c r="DI61" i="4" s="1"/>
  <c r="EI60" i="4"/>
  <c r="EF60" i="4" s="1"/>
  <c r="DK62" i="4"/>
  <c r="DN62" i="4" s="1"/>
  <c r="DJ62" i="4"/>
  <c r="DM62" i="4" s="1"/>
  <c r="DH63" i="4"/>
  <c r="EG61" i="4"/>
  <c r="EJ61" i="4" s="1"/>
  <c r="EH61" i="4"/>
  <c r="EK61" i="4" s="1"/>
  <c r="EE62" i="4"/>
  <c r="GP68" i="4" l="1"/>
  <c r="GR67" i="4"/>
  <c r="GQ67" i="4" s="1"/>
  <c r="GT67" i="4" s="1"/>
  <c r="GV66" i="4"/>
  <c r="GU66" i="4"/>
  <c r="DH64" i="4"/>
  <c r="DK63" i="4"/>
  <c r="DN63" i="4" s="1"/>
  <c r="DJ63" i="4"/>
  <c r="DM63" i="4" s="1"/>
  <c r="DL62" i="4"/>
  <c r="DI62" i="4" s="1"/>
  <c r="EI61" i="4"/>
  <c r="EF61" i="4" s="1"/>
  <c r="EG62" i="4"/>
  <c r="EJ62" i="4" s="1"/>
  <c r="EH62" i="4"/>
  <c r="EK62" i="4" s="1"/>
  <c r="EE63" i="4"/>
  <c r="BH69" i="4"/>
  <c r="GV67" i="4" l="1"/>
  <c r="GU67" i="4"/>
  <c r="GP69" i="4"/>
  <c r="GR68" i="4"/>
  <c r="GQ68" i="4" s="1"/>
  <c r="GT68" i="4" s="1"/>
  <c r="EG63" i="4"/>
  <c r="EJ63" i="4" s="1"/>
  <c r="EH63" i="4"/>
  <c r="EK63" i="4" s="1"/>
  <c r="EE64" i="4"/>
  <c r="EI63" i="4"/>
  <c r="DJ64" i="4"/>
  <c r="DM64" i="4" s="1"/>
  <c r="DH65" i="4"/>
  <c r="DK64" i="4"/>
  <c r="DN64" i="4" s="1"/>
  <c r="AR8" i="16"/>
  <c r="AQ7" i="16"/>
  <c r="BH70" i="4"/>
  <c r="BI69" i="4"/>
  <c r="BI68" i="4" s="1"/>
  <c r="EI62" i="4"/>
  <c r="EF62" i="4" s="1"/>
  <c r="DL63" i="4"/>
  <c r="DI63" i="4" s="1"/>
  <c r="GP70" i="4" l="1"/>
  <c r="GR69" i="4"/>
  <c r="GQ69" i="4" s="1"/>
  <c r="GT69" i="4" s="1"/>
  <c r="GV68" i="4"/>
  <c r="GU68" i="4"/>
  <c r="DL64" i="4"/>
  <c r="DI64" i="4" s="1"/>
  <c r="EF63" i="4"/>
  <c r="DH66" i="4"/>
  <c r="DK65" i="4"/>
  <c r="DN65" i="4" s="1"/>
  <c r="DJ65" i="4"/>
  <c r="DM65" i="4" s="1"/>
  <c r="BH71" i="4"/>
  <c r="EE65" i="4"/>
  <c r="EH64" i="4"/>
  <c r="EK64" i="4" s="1"/>
  <c r="AR15" i="16"/>
  <c r="EG64" i="4"/>
  <c r="EJ64" i="4" s="1"/>
  <c r="AQ15" i="4"/>
  <c r="AQ15" i="16"/>
  <c r="AP15" i="4"/>
  <c r="GU69" i="4" l="1"/>
  <c r="GV69" i="4"/>
  <c r="GR70" i="4"/>
  <c r="GQ70" i="4" s="1"/>
  <c r="GT70" i="4" s="1"/>
  <c r="GP71" i="4"/>
  <c r="EE66" i="4"/>
  <c r="EG65" i="4"/>
  <c r="EJ65" i="4" s="1"/>
  <c r="EH65" i="4"/>
  <c r="EK65" i="4" s="1"/>
  <c r="BH72" i="4"/>
  <c r="BI71" i="4"/>
  <c r="BI70" i="4" s="1"/>
  <c r="DL65" i="4"/>
  <c r="DI65" i="4" s="1"/>
  <c r="EI64" i="4"/>
  <c r="EF64" i="4" s="1"/>
  <c r="DH67" i="4"/>
  <c r="DK66" i="4"/>
  <c r="DN66" i="4" s="1"/>
  <c r="DJ66" i="4"/>
  <c r="DM66" i="4" s="1"/>
  <c r="GP72" i="4" l="1"/>
  <c r="GR71" i="4"/>
  <c r="GQ71" i="4" s="1"/>
  <c r="GT71" i="4" s="1"/>
  <c r="GU70" i="4"/>
  <c r="GV70" i="4"/>
  <c r="DL66" i="4"/>
  <c r="DI66" i="4" s="1"/>
  <c r="DH68" i="4"/>
  <c r="DJ67" i="4"/>
  <c r="DM67" i="4" s="1"/>
  <c r="DK67" i="4"/>
  <c r="DN67" i="4" s="1"/>
  <c r="EI65" i="4"/>
  <c r="EF65" i="4" s="1"/>
  <c r="EH66" i="4"/>
  <c r="EK66" i="4" s="1"/>
  <c r="EE67" i="4"/>
  <c r="EG66" i="4"/>
  <c r="EJ66" i="4" s="1"/>
  <c r="BH73" i="4"/>
  <c r="GU71" i="4" l="1"/>
  <c r="GV71" i="4"/>
  <c r="GR72" i="4"/>
  <c r="GQ72" i="4" s="1"/>
  <c r="GT72" i="4" s="1"/>
  <c r="GP73" i="4"/>
  <c r="BI73" i="4"/>
  <c r="BI72" i="4" s="1"/>
  <c r="BH74" i="4"/>
  <c r="DL67" i="4"/>
  <c r="DI67" i="4" s="1"/>
  <c r="EI66" i="4"/>
  <c r="EF66" i="4" s="1"/>
  <c r="EG67" i="4"/>
  <c r="EJ67" i="4" s="1"/>
  <c r="EH67" i="4"/>
  <c r="EK67" i="4" s="1"/>
  <c r="EE68" i="4"/>
  <c r="DH69" i="4"/>
  <c r="DK68" i="4"/>
  <c r="DN68" i="4" s="1"/>
  <c r="DJ68" i="4"/>
  <c r="DM68" i="4" s="1"/>
  <c r="GU72" i="4" l="1"/>
  <c r="GV72" i="4"/>
  <c r="GR73" i="4"/>
  <c r="GQ73" i="4" s="1"/>
  <c r="GT73" i="4" s="1"/>
  <c r="GP74" i="4"/>
  <c r="EI67" i="4"/>
  <c r="DL68" i="4"/>
  <c r="DI68" i="4" s="1"/>
  <c r="EF67" i="4"/>
  <c r="DK69" i="4"/>
  <c r="DN69" i="4" s="1"/>
  <c r="DJ69" i="4"/>
  <c r="DM69" i="4" s="1"/>
  <c r="DH70" i="4"/>
  <c r="EG68" i="4"/>
  <c r="EJ68" i="4" s="1"/>
  <c r="EE69" i="4"/>
  <c r="EH68" i="4"/>
  <c r="EK68" i="4" s="1"/>
  <c r="BH75" i="4"/>
  <c r="GR74" i="4" l="1"/>
  <c r="GQ74" i="4" s="1"/>
  <c r="GT74" i="4" s="1"/>
  <c r="GP75" i="4"/>
  <c r="GV73" i="4"/>
  <c r="GU73" i="4"/>
  <c r="DJ70" i="4"/>
  <c r="DM70" i="4" s="1"/>
  <c r="DH71" i="4"/>
  <c r="DK70" i="4"/>
  <c r="DN70" i="4" s="1"/>
  <c r="EI68" i="4"/>
  <c r="EF68" i="4" s="1"/>
  <c r="DL69" i="4"/>
  <c r="DI69" i="4" s="1"/>
  <c r="EG69" i="4"/>
  <c r="EJ69" i="4" s="1"/>
  <c r="EH69" i="4"/>
  <c r="EK69" i="4" s="1"/>
  <c r="EE70" i="4"/>
  <c r="BH76" i="4"/>
  <c r="BI75" i="4"/>
  <c r="BI74" i="4" s="1"/>
  <c r="GP76" i="4" l="1"/>
  <c r="GR75" i="4"/>
  <c r="GQ75" i="4" s="1"/>
  <c r="GT75" i="4" s="1"/>
  <c r="GU74" i="4"/>
  <c r="GV74" i="4"/>
  <c r="EI69" i="4"/>
  <c r="EF69" i="4" s="1"/>
  <c r="EG70" i="4"/>
  <c r="EJ70" i="4" s="1"/>
  <c r="EH70" i="4"/>
  <c r="EK70" i="4" s="1"/>
  <c r="EE71" i="4"/>
  <c r="BH77" i="4"/>
  <c r="DL70" i="4"/>
  <c r="DI70" i="4" s="1"/>
  <c r="DJ71" i="4"/>
  <c r="DM71" i="4" s="1"/>
  <c r="DK71" i="4"/>
  <c r="DN71" i="4" s="1"/>
  <c r="DH72" i="4"/>
  <c r="GU75" i="4" l="1"/>
  <c r="GV75" i="4"/>
  <c r="GP77" i="4"/>
  <c r="GR76" i="4"/>
  <c r="GQ76" i="4" s="1"/>
  <c r="GT76" i="4" s="1"/>
  <c r="BI77" i="4"/>
  <c r="BI76" i="4" s="1"/>
  <c r="BH78" i="4"/>
  <c r="DL71" i="4"/>
  <c r="DI71" i="4" s="1"/>
  <c r="DJ72" i="4"/>
  <c r="DM72" i="4" s="1"/>
  <c r="DK72" i="4"/>
  <c r="DN72" i="4" s="1"/>
  <c r="DH73" i="4"/>
  <c r="EG71" i="4"/>
  <c r="EJ71" i="4" s="1"/>
  <c r="EH71" i="4"/>
  <c r="EK71" i="4" s="1"/>
  <c r="EE72" i="4"/>
  <c r="EI70" i="4"/>
  <c r="EF70" i="4" s="1"/>
  <c r="GU76" i="4" l="1"/>
  <c r="GV76" i="4"/>
  <c r="GR77" i="4"/>
  <c r="GQ77" i="4" s="1"/>
  <c r="GT77" i="4" s="1"/>
  <c r="GP78" i="4"/>
  <c r="EH72" i="4"/>
  <c r="EK72" i="4" s="1"/>
  <c r="EE73" i="4"/>
  <c r="EG72" i="4"/>
  <c r="EJ72" i="4" s="1"/>
  <c r="EI71" i="4"/>
  <c r="EF71" i="4" s="1"/>
  <c r="EF72" i="4" s="1"/>
  <c r="EF73" i="4" s="1"/>
  <c r="EF74" i="4" s="1"/>
  <c r="EF75" i="4" s="1"/>
  <c r="EF76" i="4" s="1"/>
  <c r="BH79" i="4"/>
  <c r="BI79" i="4" s="1"/>
  <c r="BI78" i="4" s="1"/>
  <c r="DJ73" i="4"/>
  <c r="DM73" i="4" s="1"/>
  <c r="DH74" i="4"/>
  <c r="DK73" i="4"/>
  <c r="DN73" i="4" s="1"/>
  <c r="DL72" i="4"/>
  <c r="DI72" i="4" s="1"/>
  <c r="GR78" i="4" l="1"/>
  <c r="GQ78" i="4" s="1"/>
  <c r="GT78" i="4" s="1"/>
  <c r="GP79" i="4"/>
  <c r="GU77" i="4"/>
  <c r="GV77" i="4"/>
  <c r="EH73" i="4"/>
  <c r="EK73" i="4" s="1"/>
  <c r="EG73" i="4"/>
  <c r="EJ73" i="4" s="1"/>
  <c r="EE74" i="4"/>
  <c r="DH75" i="4"/>
  <c r="DK74" i="4"/>
  <c r="DN74" i="4" s="1"/>
  <c r="DJ74" i="4"/>
  <c r="DM74" i="4" s="1"/>
  <c r="DL73" i="4"/>
  <c r="DI73" i="4" s="1"/>
  <c r="EI72" i="4"/>
  <c r="GP80" i="4" l="1"/>
  <c r="GR79" i="4"/>
  <c r="GQ79" i="4" s="1"/>
  <c r="GT79" i="4" s="1"/>
  <c r="GU78" i="4"/>
  <c r="GV78" i="4"/>
  <c r="EI73" i="4"/>
  <c r="DL74" i="4"/>
  <c r="DI74" i="4" s="1"/>
  <c r="DJ75" i="4"/>
  <c r="DM75" i="4" s="1"/>
  <c r="DK75" i="4"/>
  <c r="DN75" i="4" s="1"/>
  <c r="DH76" i="4"/>
  <c r="EG74" i="4"/>
  <c r="EJ74" i="4" s="1"/>
  <c r="EE75" i="4"/>
  <c r="EH74" i="4"/>
  <c r="EK74" i="4" s="1"/>
  <c r="GU79" i="4" l="1"/>
  <c r="GV79" i="4"/>
  <c r="GR80" i="4"/>
  <c r="GQ80" i="4" s="1"/>
  <c r="GT80" i="4" s="1"/>
  <c r="GP81" i="4"/>
  <c r="DH77" i="4"/>
  <c r="DJ76" i="4"/>
  <c r="DM76" i="4" s="1"/>
  <c r="DK76" i="4"/>
  <c r="DN76" i="4" s="1"/>
  <c r="DL75" i="4"/>
  <c r="DI75" i="4" s="1"/>
  <c r="EI74" i="4"/>
  <c r="EH75" i="4"/>
  <c r="EK75" i="4" s="1"/>
  <c r="EG75" i="4"/>
  <c r="EJ75" i="4" s="1"/>
  <c r="EE76" i="4"/>
  <c r="GR81" i="4" l="1"/>
  <c r="GQ81" i="4" s="1"/>
  <c r="GT81" i="4" s="1"/>
  <c r="GP82" i="4"/>
  <c r="GV80" i="4"/>
  <c r="GU80" i="4"/>
  <c r="EI75" i="4"/>
  <c r="DL76" i="4"/>
  <c r="DI76" i="4" s="1"/>
  <c r="EG76" i="4"/>
  <c r="EJ76" i="4" s="1"/>
  <c r="EH76" i="4"/>
  <c r="EK76" i="4" s="1"/>
  <c r="DJ77" i="4"/>
  <c r="DM77" i="4" s="1"/>
  <c r="DH78" i="4"/>
  <c r="DK77" i="4"/>
  <c r="DN77" i="4" s="1"/>
  <c r="GP83" i="4" l="1"/>
  <c r="GR82" i="4"/>
  <c r="GQ82" i="4" s="1"/>
  <c r="GT82" i="4" s="1"/>
  <c r="GV81" i="4"/>
  <c r="GU81" i="4"/>
  <c r="DK78" i="4"/>
  <c r="DN78" i="4" s="1"/>
  <c r="DH79" i="4"/>
  <c r="DJ78" i="4"/>
  <c r="DM78" i="4" s="1"/>
  <c r="DL77" i="4"/>
  <c r="DI77" i="4" s="1"/>
  <c r="EI76" i="4"/>
  <c r="GV82" i="4" l="1"/>
  <c r="GU82" i="4"/>
  <c r="GP84" i="4"/>
  <c r="GR83" i="4"/>
  <c r="GQ83" i="4" s="1"/>
  <c r="GT83" i="4" s="1"/>
  <c r="DL78" i="4"/>
  <c r="DI78" i="4" s="1"/>
  <c r="DH80" i="4"/>
  <c r="DJ79" i="4"/>
  <c r="DM79" i="4" s="1"/>
  <c r="DK79" i="4"/>
  <c r="DN79" i="4" s="1"/>
  <c r="GU83" i="4" l="1"/>
  <c r="GV83" i="4"/>
  <c r="GR84" i="4"/>
  <c r="GQ84" i="4" s="1"/>
  <c r="GT84" i="4" s="1"/>
  <c r="GP85" i="4"/>
  <c r="DL79" i="4"/>
  <c r="DI79" i="4" s="1"/>
  <c r="DK80" i="4"/>
  <c r="DN80" i="4" s="1"/>
  <c r="DJ80" i="4"/>
  <c r="DM80" i="4" s="1"/>
  <c r="DH81" i="4"/>
  <c r="GP86" i="4" l="1"/>
  <c r="GR85" i="4"/>
  <c r="GQ85" i="4" s="1"/>
  <c r="GT85" i="4" s="1"/>
  <c r="GU84" i="4"/>
  <c r="GV84" i="4"/>
  <c r="DL80" i="4"/>
  <c r="DI80" i="4" s="1"/>
  <c r="DH82" i="4"/>
  <c r="DK81" i="4"/>
  <c r="DN81" i="4" s="1"/>
  <c r="DJ81" i="4"/>
  <c r="DM81" i="4" s="1"/>
  <c r="GU85" i="4" l="1"/>
  <c r="GV85" i="4"/>
  <c r="GP87" i="4"/>
  <c r="GR86" i="4"/>
  <c r="GQ86" i="4" s="1"/>
  <c r="GT86" i="4" s="1"/>
  <c r="DJ82" i="4"/>
  <c r="DM82" i="4" s="1"/>
  <c r="DK82" i="4"/>
  <c r="DN82" i="4" s="1"/>
  <c r="DL81" i="4"/>
  <c r="DI81" i="4" s="1"/>
  <c r="GR87" i="4" l="1"/>
  <c r="GQ87" i="4" s="1"/>
  <c r="GT87" i="4" s="1"/>
  <c r="GP88" i="4"/>
  <c r="GU86" i="4"/>
  <c r="GV86" i="4"/>
  <c r="DL82" i="4"/>
  <c r="GP89" i="4" l="1"/>
  <c r="GR88" i="4"/>
  <c r="GQ88" i="4" s="1"/>
  <c r="GT88" i="4" s="1"/>
  <c r="GU87" i="4"/>
  <c r="GV87" i="4"/>
  <c r="GV88" i="4" l="1"/>
  <c r="GU88" i="4"/>
  <c r="GP90" i="4"/>
  <c r="GR89" i="4"/>
  <c r="GQ89" i="4" s="1"/>
  <c r="GT89" i="4" s="1"/>
  <c r="GV89" i="4" l="1"/>
  <c r="GU89" i="4"/>
  <c r="GP91" i="4"/>
  <c r="GR90" i="4"/>
  <c r="GQ90" i="4" s="1"/>
  <c r="GT90" i="4" s="1"/>
  <c r="GV90" i="4" l="1"/>
  <c r="GU90" i="4"/>
  <c r="GP92" i="4"/>
  <c r="GR91" i="4"/>
  <c r="GQ91" i="4" s="1"/>
  <c r="GT91" i="4" s="1"/>
  <c r="GU91" i="4" l="1"/>
  <c r="GV91" i="4"/>
  <c r="GP93" i="4"/>
  <c r="GR92" i="4"/>
  <c r="GQ92" i="4" s="1"/>
  <c r="GT92" i="4" s="1"/>
  <c r="GU92" i="4" l="1"/>
  <c r="GV92" i="4"/>
  <c r="GP94" i="4"/>
  <c r="GR93" i="4"/>
  <c r="GQ93" i="4" s="1"/>
  <c r="GT93" i="4" s="1"/>
  <c r="GU93" i="4" l="1"/>
  <c r="GV93" i="4"/>
  <c r="GR94" i="4"/>
  <c r="GQ94" i="4" s="1"/>
  <c r="GT94" i="4" s="1"/>
  <c r="GP95" i="4"/>
  <c r="GR95" i="4" l="1"/>
  <c r="GQ95" i="4" s="1"/>
  <c r="GT95" i="4" s="1"/>
  <c r="GP96" i="4"/>
  <c r="GU94" i="4"/>
  <c r="GV94" i="4"/>
  <c r="GP97" i="4" l="1"/>
  <c r="GR96" i="4"/>
  <c r="GQ96" i="4" s="1"/>
  <c r="GT96" i="4" s="1"/>
  <c r="GU95" i="4"/>
  <c r="GV95" i="4"/>
  <c r="GU96" i="4" l="1"/>
  <c r="GV96" i="4"/>
  <c r="GR97" i="4"/>
  <c r="GQ97" i="4" s="1"/>
  <c r="GT97" i="4" s="1"/>
  <c r="GP98" i="4"/>
  <c r="GR98" i="4" l="1"/>
  <c r="GQ98" i="4" s="1"/>
  <c r="GT98" i="4" s="1"/>
  <c r="GP99" i="4"/>
  <c r="GV97" i="4"/>
  <c r="GU97" i="4"/>
  <c r="GP100" i="4" l="1"/>
  <c r="GR99" i="4"/>
  <c r="GQ99" i="4" s="1"/>
  <c r="GT99" i="4" s="1"/>
  <c r="GV98" i="4"/>
  <c r="GU98" i="4"/>
  <c r="GU99" i="4" l="1"/>
  <c r="GV99" i="4"/>
  <c r="GP101" i="4"/>
  <c r="GR100" i="4"/>
  <c r="GQ100" i="4" s="1"/>
  <c r="GT100" i="4" s="1"/>
  <c r="GV100" i="4" l="1"/>
  <c r="GU100" i="4"/>
  <c r="GR101" i="4"/>
  <c r="GQ101" i="4" s="1"/>
  <c r="GT101" i="4" s="1"/>
  <c r="GP102" i="4"/>
  <c r="GR102" i="4" s="1"/>
  <c r="GQ102" i="4" s="1"/>
  <c r="GT102" i="4" l="1"/>
  <c r="AN15" i="16"/>
  <c r="GV102" i="4"/>
  <c r="GU102" i="4"/>
  <c r="GU101" i="4"/>
  <c r="GV101" i="4"/>
  <c r="AN7" i="16" l="1"/>
  <c r="AO15" i="16"/>
  <c r="AP15" i="16"/>
  <c r="AP27" i="16" l="1"/>
  <c r="AT15" i="16"/>
  <c r="AT27" i="16" s="1"/>
  <c r="AR27" i="16" s="1"/>
  <c r="AO27" i="16"/>
  <c r="AS15" i="16"/>
  <c r="AS27" i="16" s="1"/>
  <c r="AQ27" i="16" s="1"/>
  <c r="AO7" i="16"/>
  <c r="AP8" i="16"/>
  <c r="AO24" i="16" l="1"/>
  <c r="AO28" i="16" s="1"/>
  <c r="AO19" i="16"/>
  <c r="P17" i="16" s="1"/>
  <c r="P11" i="16" s="1"/>
  <c r="AS7" i="16"/>
  <c r="AP24" i="16"/>
  <c r="AP28" i="16" s="1"/>
  <c r="AP19" i="16"/>
  <c r="R17" i="16" s="1"/>
  <c r="R11" i="16" s="1"/>
  <c r="AT8" i="16"/>
  <c r="AT24" i="16" l="1"/>
  <c r="AT19" i="16"/>
  <c r="AS24" i="16"/>
  <c r="AS19" i="16"/>
  <c r="AQ24" i="16" l="1"/>
  <c r="AS28" i="16"/>
  <c r="AQ28" i="16" s="1"/>
  <c r="AQ19" i="16"/>
  <c r="P24" i="16"/>
  <c r="P18" i="16" s="1"/>
  <c r="AR19" i="16"/>
  <c r="R24" i="16"/>
  <c r="R18" i="16" s="1"/>
  <c r="AT28" i="16"/>
  <c r="AR28" i="16" s="1"/>
  <c r="AR24" i="16"/>
  <c r="R26" i="16" l="1"/>
  <c r="R7" i="16"/>
  <c r="P26" i="16"/>
  <c r="P7" i="16"/>
  <c r="P30" i="16" l="1"/>
  <c r="P35" i="16"/>
  <c r="P34" i="16"/>
  <c r="P27" i="16"/>
  <c r="P37" i="16"/>
  <c r="P36" i="16"/>
  <c r="P31" i="16"/>
  <c r="P29" i="16"/>
  <c r="P28" i="16"/>
  <c r="P33" i="16"/>
  <c r="P32" i="16"/>
  <c r="R37" i="16"/>
  <c r="R32" i="16"/>
  <c r="R27" i="16"/>
  <c r="R29" i="16"/>
  <c r="R35" i="16"/>
  <c r="T35" i="16" s="1"/>
  <c r="R34" i="16"/>
  <c r="T34" i="16" s="1"/>
  <c r="R36" i="16"/>
  <c r="R30" i="16"/>
  <c r="T30" i="16" s="1"/>
  <c r="R31" i="16"/>
  <c r="R33" i="16"/>
  <c r="T33" i="16" s="1"/>
  <c r="R28" i="16"/>
  <c r="T31" i="16" l="1"/>
  <c r="T36" i="16"/>
  <c r="T28" i="16"/>
  <c r="T29" i="16"/>
  <c r="S36" i="16"/>
  <c r="S30" i="16"/>
  <c r="U30" i="16" s="1"/>
  <c r="S37" i="16"/>
  <c r="S29" i="16"/>
  <c r="U29" i="16" s="1"/>
  <c r="S32" i="16"/>
  <c r="S28" i="16"/>
  <c r="S35" i="16"/>
  <c r="U35" i="16" s="1"/>
  <c r="S31" i="16"/>
  <c r="U31" i="16" s="1"/>
  <c r="S34" i="16"/>
  <c r="U34" i="16" s="1"/>
  <c r="S33" i="16"/>
  <c r="U33" i="16" s="1"/>
  <c r="U36" i="16"/>
  <c r="T37" i="16"/>
  <c r="T32" i="16"/>
  <c r="T27" i="16"/>
  <c r="U27" i="16" s="1"/>
  <c r="U32" i="16" l="1"/>
  <c r="U28" i="16"/>
  <c r="S38" i="16"/>
  <c r="U37" i="16"/>
  <c r="T38" i="16"/>
  <c r="Q2" i="16" s="1"/>
  <c r="Q4" i="16" s="1"/>
  <c r="U38" i="16" l="1"/>
  <c r="R2" i="16" s="1"/>
  <c r="P2" i="16"/>
  <c r="R8" i="16" l="1"/>
  <c r="P8" i="16"/>
  <c r="P3" i="16"/>
  <c r="P4" i="16" s="1"/>
  <c r="R3" i="16" l="1"/>
  <c r="R4" i="16" s="1"/>
  <c r="R6" i="16" l="1"/>
  <c r="P6" i="16"/>
</calcChain>
</file>

<file path=xl/sharedStrings.xml><?xml version="1.0" encoding="utf-8"?>
<sst xmlns="http://schemas.openxmlformats.org/spreadsheetml/2006/main" count="843" uniqueCount="485">
  <si>
    <t>Team A</t>
  </si>
  <si>
    <t>Team B</t>
  </si>
  <si>
    <t>xG</t>
  </si>
  <si>
    <t>xP</t>
  </si>
  <si>
    <t>SE</t>
  </si>
  <si>
    <t>1_1</t>
  </si>
  <si>
    <t>1_3</t>
  </si>
  <si>
    <t>1_2</t>
  </si>
  <si>
    <t>2_3</t>
  </si>
  <si>
    <t>chances</t>
  </si>
  <si>
    <t>1_0</t>
  </si>
  <si>
    <t>2_1</t>
  </si>
  <si>
    <t>PDIM</t>
  </si>
  <si>
    <t>Match</t>
  </si>
  <si>
    <t>Freq</t>
  </si>
  <si>
    <t>LS</t>
  </si>
  <si>
    <t>Mid</t>
  </si>
  <si>
    <t>CA</t>
  </si>
  <si>
    <t>PNF</t>
  </si>
  <si>
    <t>PK</t>
  </si>
  <si>
    <t>Total</t>
  </si>
  <si>
    <t>IFK</t>
  </si>
  <si>
    <t>Left</t>
  </si>
  <si>
    <t>L/C/R</t>
  </si>
  <si>
    <t>Center</t>
  </si>
  <si>
    <t>Right</t>
  </si>
  <si>
    <t>% LS</t>
  </si>
  <si>
    <t>Spec</t>
  </si>
  <si>
    <t>Q</t>
  </si>
  <si>
    <t>H</t>
  </si>
  <si>
    <t>W-H</t>
  </si>
  <si>
    <t>U</t>
  </si>
  <si>
    <t>ULP</t>
  </si>
  <si>
    <t>O</t>
  </si>
  <si>
    <t>U special</t>
  </si>
  <si>
    <t>All</t>
  </si>
  <si>
    <t>U score</t>
  </si>
  <si>
    <t>U mistake</t>
  </si>
  <si>
    <t>UOG</t>
  </si>
  <si>
    <t>C-A</t>
  </si>
  <si>
    <t>W-A</t>
  </si>
  <si>
    <t>T</t>
  </si>
  <si>
    <t>Wingers</t>
  </si>
  <si>
    <t>Event</t>
  </si>
  <si>
    <t>WingHead</t>
  </si>
  <si>
    <t>CornerAnyone</t>
  </si>
  <si>
    <t>WingAnyone</t>
  </si>
  <si>
    <t>CornerHead</t>
  </si>
  <si>
    <t>QuickRush</t>
  </si>
  <si>
    <t>QuickPass</t>
  </si>
  <si>
    <t>ExperienceFwd</t>
  </si>
  <si>
    <t>TechHead</t>
  </si>
  <si>
    <t>UnpredScoreOwn</t>
  </si>
  <si>
    <t>InexpDef</t>
  </si>
  <si>
    <t>UnpredLongPass</t>
  </si>
  <si>
    <t>UnpredSpecial</t>
  </si>
  <si>
    <t>UnpredOwnGoal</t>
  </si>
  <si>
    <t>UnpredMistake</t>
  </si>
  <si>
    <t>TiredDef</t>
  </si>
  <si>
    <t>&lt;=1</t>
  </si>
  <si>
    <t>12.5+</t>
  </si>
  <si>
    <t>use isp</t>
  </si>
  <si>
    <t>use head conversion rate</t>
  </si>
  <si>
    <t>QuickStop</t>
  </si>
  <si>
    <t>total wing</t>
  </si>
  <si>
    <t>head chance</t>
  </si>
  <si>
    <t>head miss</t>
  </si>
  <si>
    <t>W-A chance</t>
  </si>
  <si>
    <t>isp</t>
  </si>
  <si>
    <t>Pressing</t>
  </si>
  <si>
    <t>opp normal</t>
  </si>
  <si>
    <t>opp LS</t>
  </si>
  <si>
    <t>Att - Def</t>
  </si>
  <si>
    <t>select</t>
  </si>
  <si>
    <t>% stopped</t>
  </si>
  <si>
    <t>Tactic Skill</t>
  </si>
  <si>
    <t>Matches</t>
  </si>
  <si>
    <t>Press Events</t>
  </si>
  <si>
    <t>Event Per Match</t>
  </si>
  <si>
    <t>PNFs</t>
  </si>
  <si>
    <t>CDs</t>
  </si>
  <si>
    <t>PNF_CD</t>
  </si>
  <si>
    <t>freq missed chance</t>
  </si>
  <si>
    <t>Poss%</t>
  </si>
  <si>
    <t>DFK</t>
  </si>
  <si>
    <t>SP</t>
  </si>
  <si>
    <t>conv</t>
  </si>
  <si>
    <t>opp_conv</t>
  </si>
  <si>
    <t>NEventChanceDFK</t>
  </si>
  <si>
    <t>Opp_NEventChanceDFK</t>
  </si>
  <si>
    <t>N1EventChanceDFK</t>
  </si>
  <si>
    <t>Opp_N1EventChanceDFK</t>
  </si>
  <si>
    <t>0-4%</t>
  </si>
  <si>
    <t>5-9%</t>
  </si>
  <si>
    <t>10-14%</t>
  </si>
  <si>
    <t>2_0</t>
  </si>
  <si>
    <t>15-19%</t>
  </si>
  <si>
    <t>20-24%</t>
  </si>
  <si>
    <t>2_2</t>
  </si>
  <si>
    <t>25-29%</t>
  </si>
  <si>
    <t>30-34%</t>
  </si>
  <si>
    <t>3_0</t>
  </si>
  <si>
    <t>35-39%</t>
  </si>
  <si>
    <t>3_1</t>
  </si>
  <si>
    <t>40-44%</t>
  </si>
  <si>
    <t>3_2</t>
  </si>
  <si>
    <t>45-49%</t>
  </si>
  <si>
    <t>3_3</t>
  </si>
  <si>
    <t>50-50%</t>
  </si>
  <si>
    <t>51-54%</t>
  </si>
  <si>
    <t>55-59%</t>
  </si>
  <si>
    <t>60-64%</t>
  </si>
  <si>
    <t>65-69%</t>
  </si>
  <si>
    <t>70-74%</t>
  </si>
  <si>
    <t>75-79%</t>
  </si>
  <si>
    <t>80-84%</t>
  </si>
  <si>
    <t>85-89%</t>
  </si>
  <si>
    <t>90-94%</t>
  </si>
  <si>
    <t>95%+</t>
  </si>
  <si>
    <t>FW</t>
  </si>
  <si>
    <t>MID</t>
  </si>
  <si>
    <t>DEF</t>
  </si>
  <si>
    <t>K</t>
  </si>
  <si>
    <t>Z</t>
  </si>
  <si>
    <t>xG A</t>
  </si>
  <si>
    <t>xG B</t>
  </si>
  <si>
    <t>Attacker</t>
  </si>
  <si>
    <t>Defender (100%)</t>
  </si>
  <si>
    <t>Defender (25%)</t>
  </si>
  <si>
    <t>W Right, FW Right</t>
  </si>
  <si>
    <t>WB Left</t>
  </si>
  <si>
    <t>CD Left</t>
  </si>
  <si>
    <t>W Left, FW Left</t>
  </si>
  <si>
    <t>WB Right</t>
  </si>
  <si>
    <t>CD Right</t>
  </si>
  <si>
    <t>IM Right</t>
  </si>
  <si>
    <t>CD Middle, WB Left</t>
  </si>
  <si>
    <t>IM Left</t>
  </si>
  <si>
    <t>CD Middle, WB Right</t>
  </si>
  <si>
    <t>FW Middle, IM Middle</t>
  </si>
  <si>
    <t>CD Middle</t>
  </si>
  <si>
    <t>CD Left, CD Right</t>
  </si>
  <si>
    <t>Q stop adjustment factor; 0% means that all Q events get stopped</t>
  </si>
  <si>
    <t>TacticSkill</t>
  </si>
  <si>
    <t>E_CA</t>
  </si>
  <si>
    <t>Opp_E_NormalMissed</t>
  </si>
  <si>
    <t>% CA</t>
  </si>
  <si>
    <t>Selected</t>
  </si>
  <si>
    <t>EventName</t>
  </si>
  <si>
    <t>E</t>
  </si>
  <si>
    <t>Normal</t>
  </si>
  <si>
    <t>Normal (remove PK &amp; LS)</t>
  </si>
  <si>
    <t>ChanceDFK</t>
  </si>
  <si>
    <t>ChanceIFK</t>
  </si>
  <si>
    <t>ChanceLeft</t>
  </si>
  <si>
    <t>ChanceMid</t>
  </si>
  <si>
    <t>ChanceRight</t>
  </si>
  <si>
    <t>ChancePK</t>
  </si>
  <si>
    <t>0_0</t>
  </si>
  <si>
    <t>0_1</t>
  </si>
  <si>
    <t>0_2</t>
  </si>
  <si>
    <t>0_3</t>
  </si>
  <si>
    <t>%</t>
  </si>
  <si>
    <t>% no LS_NT</t>
  </si>
  <si>
    <t>ChanceLSNonTactic</t>
  </si>
  <si>
    <t>Conv% PK. ISP Att (rows) vs Opp ISP Def (columns)</t>
  </si>
  <si>
    <t>Rating</t>
  </si>
  <si>
    <t>&lt;8</t>
  </si>
  <si>
    <t>&lt;6</t>
  </si>
  <si>
    <t>Edited 7-18-2022 15:40 by nickarana</t>
  </si>
  <si>
    <t>PK% = PK/(DFK+PK) events. ISP Att (rows) vs Opp ISP Def (columns)</t>
  </si>
  <si>
    <t>Edited 7-18-2022 15:45 by nickarana</t>
  </si>
  <si>
    <t>Conv% DFK</t>
  </si>
  <si>
    <t>LS N-T</t>
  </si>
  <si>
    <t>% LS N-T</t>
  </si>
  <si>
    <t>long shots</t>
  </si>
  <si>
    <t>E_Att_Mid</t>
  </si>
  <si>
    <t>E_Att_Wing</t>
  </si>
  <si>
    <t>E_AIM_AOW</t>
  </si>
  <si>
    <t>% Wing</t>
  </si>
  <si>
    <t>% Convert</t>
  </si>
  <si>
    <t>30+</t>
  </si>
  <si>
    <t>AIM Rating</t>
  </si>
  <si>
    <t>% Mid</t>
  </si>
  <si>
    <t>&lt;17</t>
  </si>
  <si>
    <t>AOW Rating</t>
  </si>
  <si>
    <t>&lt;14</t>
  </si>
  <si>
    <t>29+</t>
  </si>
  <si>
    <t>%dist</t>
  </si>
  <si>
    <t>%conv</t>
  </si>
  <si>
    <t>Chance after PDIM</t>
  </si>
  <si>
    <t>Chance after Poss</t>
  </si>
  <si>
    <t>goals</t>
  </si>
  <si>
    <t>Set Piece</t>
  </si>
  <si>
    <t>C-H A</t>
  </si>
  <si>
    <t>C-H B</t>
  </si>
  <si>
    <t>Head gap</t>
  </si>
  <si>
    <t>Conv%</t>
  </si>
  <si>
    <t>ISP gap</t>
  </si>
  <si>
    <t>ISP factor</t>
  </si>
  <si>
    <t>&lt;-44</t>
  </si>
  <si>
    <t>28+</t>
  </si>
  <si>
    <t>CORNER HEAD</t>
  </si>
  <si>
    <t>ISP Factor</t>
  </si>
  <si>
    <t>calc steps</t>
  </si>
  <si>
    <t>total wing conv%</t>
  </si>
  <si>
    <t>head conv%</t>
  </si>
  <si>
    <t>w-a conv%</t>
  </si>
  <si>
    <t>actual</t>
  </si>
  <si>
    <t>wtd</t>
  </si>
  <si>
    <t>wing all</t>
  </si>
  <si>
    <t>wing head</t>
  </si>
  <si>
    <t>wing anyone</t>
  </si>
  <si>
    <t>model wing conv%</t>
  </si>
  <si>
    <t>Q Rush</t>
  </si>
  <si>
    <t>Q Pass</t>
  </si>
  <si>
    <t>hlookup</t>
  </si>
  <si>
    <t>normal wtd ls dist</t>
  </si>
  <si>
    <t>ls conv</t>
  </si>
  <si>
    <t>all wing events LS</t>
  </si>
  <si>
    <t>LS wtd</t>
  </si>
  <si>
    <t>calc remaining gap</t>
  </si>
  <si>
    <t>other conv%</t>
  </si>
  <si>
    <t>se players</t>
  </si>
  <si>
    <t>factor</t>
  </si>
  <si>
    <t>C-H factor</t>
  </si>
  <si>
    <t>PC factor</t>
  </si>
  <si>
    <t>SE A</t>
  </si>
  <si>
    <t>SE B</t>
  </si>
  <si>
    <t>SE xG A</t>
  </si>
  <si>
    <t>SE xG B</t>
  </si>
  <si>
    <t>ISP Gap</t>
  </si>
  <si>
    <t>K Stars</t>
  </si>
  <si>
    <t>K Factor</t>
  </si>
  <si>
    <t>Conv non-LS</t>
  </si>
  <si>
    <t>Conv LS</t>
  </si>
  <si>
    <t>Counter Attacks</t>
  </si>
  <si>
    <t>Long Shots</t>
  </si>
  <si>
    <t>Play Creatively</t>
  </si>
  <si>
    <t>Attack on Wings</t>
  </si>
  <si>
    <t>Attack in Middle</t>
  </si>
  <si>
    <t>(no tactic)</t>
  </si>
  <si>
    <t>CA count</t>
  </si>
  <si>
    <t>% match</t>
  </si>
  <si>
    <t>Freq%</t>
  </si>
  <si>
    <t>2D</t>
  </si>
  <si>
    <t>3D</t>
  </si>
  <si>
    <t>4D</t>
  </si>
  <si>
    <t>5D</t>
  </si>
  <si>
    <t>actual freq per match</t>
  </si>
  <si>
    <t>assumes 3 missed chances per match</t>
  </si>
  <si>
    <t>% CA:</t>
  </si>
  <si>
    <t>CAs:</t>
  </si>
  <si>
    <t>CA / PNF</t>
  </si>
  <si>
    <t>PNF event conv%:</t>
  </si>
  <si>
    <t>Chance after Poss:</t>
  </si>
  <si>
    <t>Chance after PDIM:</t>
  </si>
  <si>
    <t>Press Tactic Skill</t>
  </si>
  <si>
    <t>Press%</t>
  </si>
  <si>
    <t>Freq LS Press</t>
  </si>
  <si>
    <t>Freq Long Shot</t>
  </si>
  <si>
    <t>Avg Points LS Team</t>
  </si>
  <si>
    <t>Avg LS Tactic Skill</t>
  </si>
  <si>
    <t>New</t>
  </si>
  <si>
    <t>11+</t>
  </si>
  <si>
    <t>S Tactic Skill</t>
  </si>
  <si>
    <t>Avg Press Tactic Skill</t>
  </si>
  <si>
    <t>14-17</t>
  </si>
  <si>
    <t>18-19</t>
  </si>
  <si>
    <t>20-21</t>
  </si>
  <si>
    <t>22+</t>
  </si>
  <si>
    <t>10-13</t>
  </si>
  <si>
    <t>&lt;10</t>
  </si>
  <si>
    <t>% pressed</t>
  </si>
  <si>
    <t>adj</t>
  </si>
  <si>
    <t>Press LS%:</t>
  </si>
  <si>
    <t>Missed Normal:</t>
  </si>
  <si>
    <t>U CAs:</t>
  </si>
  <si>
    <t>Other</t>
  </si>
  <si>
    <t>Quick</t>
  </si>
  <si>
    <t>Head</t>
  </si>
  <si>
    <t>Unpred</t>
  </si>
  <si>
    <t>Tech</t>
  </si>
  <si>
    <t>H+SP</t>
  </si>
  <si>
    <t>Enter Ratings for both teams</t>
  </si>
  <si>
    <t>Ratings input:</t>
  </si>
  <si>
    <t>Percent</t>
  </si>
  <si>
    <t>Ratings</t>
  </si>
  <si>
    <t>Rater will use the input selected below</t>
  </si>
  <si>
    <t>Enter via match ratings (blue) or sector percentages (green)</t>
  </si>
  <si>
    <t>Att</t>
  </si>
  <si>
    <t>Def</t>
  </si>
  <si>
    <t>Win A</t>
  </si>
  <si>
    <t>Draw</t>
  </si>
  <si>
    <t>Win B</t>
  </si>
  <si>
    <t>MF</t>
  </si>
  <si>
    <t>Chances</t>
  </si>
  <si>
    <t>Goals</t>
  </si>
  <si>
    <t>Normal Chances:</t>
  </si>
  <si>
    <t>Chance after Press:</t>
  </si>
  <si>
    <t>PDIM:</t>
  </si>
  <si>
    <t>PNF_CD Opp:</t>
  </si>
  <si>
    <t>AIM% shift:</t>
  </si>
  <si>
    <t>AOW% shift:</t>
  </si>
  <si>
    <t>PK/(PK+DFK):</t>
  </si>
  <si>
    <t>Hat Ratings</t>
  </si>
  <si>
    <t>Tactic</t>
  </si>
  <si>
    <t>Level A</t>
  </si>
  <si>
    <t>Level B</t>
  </si>
  <si>
    <t>Sector</t>
  </si>
  <si>
    <t>Player A</t>
  </si>
  <si>
    <t>Player B</t>
  </si>
  <si>
    <t>% Event A</t>
  </si>
  <si>
    <t>Freq A</t>
  </si>
  <si>
    <t>Freq B</t>
  </si>
  <si>
    <t>League</t>
  </si>
  <si>
    <t>Cup</t>
  </si>
  <si>
    <t>CA lkup</t>
  </si>
  <si>
    <t>CA %conv</t>
  </si>
  <si>
    <t>event</t>
  </si>
  <si>
    <t>match</t>
  </si>
  <si>
    <t>goal</t>
  </si>
  <si>
    <t>Triggers</t>
  </si>
  <si>
    <t>Offensive</t>
  </si>
  <si>
    <t>Def + K</t>
  </si>
  <si>
    <t>All but K</t>
  </si>
  <si>
    <t>Def / IM</t>
  </si>
  <si>
    <t>WG / FW</t>
  </si>
  <si>
    <t>Poss</t>
  </si>
  <si>
    <t>Conv% A</t>
  </si>
  <si>
    <t>Conv% B</t>
  </si>
  <si>
    <t>All Others</t>
  </si>
  <si>
    <t>n/a</t>
  </si>
  <si>
    <t>Dist</t>
  </si>
  <si>
    <t>Type:</t>
  </si>
  <si>
    <t>Enter info into all light yellow cells</t>
  </si>
  <si>
    <t>Players A</t>
  </si>
  <si>
    <t>Players B</t>
  </si>
  <si>
    <t>Conv A</t>
  </si>
  <si>
    <t>Conv B</t>
  </si>
  <si>
    <t>non LS</t>
  </si>
  <si>
    <t>Team A:</t>
  </si>
  <si>
    <t>Team B:</t>
  </si>
  <si>
    <t>ISP Def</t>
  </si>
  <si>
    <t>ISP Att</t>
  </si>
  <si>
    <t>Tac Level</t>
  </si>
  <si>
    <t>Grey cells are informational</t>
  </si>
  <si>
    <t>no player</t>
  </si>
  <si>
    <t>Unpredictable</t>
  </si>
  <si>
    <t>Technical</t>
  </si>
  <si>
    <t>Head + Set Piece Taker</t>
  </si>
  <si>
    <t>Powerful Normal Forward</t>
  </si>
  <si>
    <t>Powerful Defensive Inner Midfield</t>
  </si>
  <si>
    <t>no specialty, or other (Support / Regainer)</t>
  </si>
  <si>
    <t>Definition</t>
  </si>
  <si>
    <t>Specialties input:</t>
  </si>
  <si>
    <t>Yes</t>
  </si>
  <si>
    <t>No</t>
  </si>
  <si>
    <t>Enter specialties below ("Yes") or choose to skip this step ("No")</t>
  </si>
  <si>
    <t>For a projection, CA rating should be reduced by -0.5 rating points</t>
  </si>
  <si>
    <t>for each opposing Q defenders that "cancels out" a Q attacker</t>
  </si>
  <si>
    <t>Row Labels</t>
  </si>
  <si>
    <t>Changes v4</t>
  </si>
  <si>
    <t>Base freq for SEs</t>
  </si>
  <si>
    <t>PC method - exponential 4 / 2.5, revised factors by tactic skill, factors unified by tactic skill</t>
  </si>
  <si>
    <t>wing-head - if only 1 and a winger, cut freq in half</t>
  </si>
  <si>
    <t>A</t>
  </si>
  <si>
    <t>Tac Skill</t>
  </si>
  <si>
    <t>No PC</t>
  </si>
  <si>
    <t>&lt;7</t>
  </si>
  <si>
    <t>&gt;25</t>
  </si>
  <si>
    <t>Select</t>
  </si>
  <si>
    <t>total</t>
  </si>
  <si>
    <t>w-h</t>
  </si>
  <si>
    <t>w-a</t>
  </si>
  <si>
    <t>qp</t>
  </si>
  <si>
    <t>qr</t>
  </si>
  <si>
    <t>th</t>
  </si>
  <si>
    <t>ulp</t>
  </si>
  <si>
    <t>um</t>
  </si>
  <si>
    <t>uog</t>
  </si>
  <si>
    <t>uso</t>
  </si>
  <si>
    <t>wa</t>
  </si>
  <si>
    <t>wh</t>
  </si>
  <si>
    <t>zz</t>
  </si>
  <si>
    <t>us</t>
  </si>
  <si>
    <t>other</t>
  </si>
  <si>
    <t>WI-H A</t>
  </si>
  <si>
    <t>WI-H B</t>
  </si>
  <si>
    <t>Updated Nov 2023</t>
  </si>
  <si>
    <t>AttScore</t>
  </si>
  <si>
    <t>HTSCORE_ATT</t>
  </si>
  <si>
    <t>DefScore</t>
  </si>
  <si>
    <t>HTSCORE_DEF</t>
  </si>
  <si>
    <t>TACTIC_MID</t>
  </si>
  <si>
    <t>HTSCORE_MID</t>
  </si>
  <si>
    <t>TACTIC_TACTICSKILL</t>
  </si>
  <si>
    <t>HTSCORE_LS</t>
  </si>
  <si>
    <t>MRA['Att'] = np.floor(.3*MRA['RatingRightAtt'].astype(float) \</t>
  </si>
  <si>
    <t xml:space="preserve">    + .4* MRA['RatingMidAtt'].astype(float) + .3* MRA['RatingLeftAtt'].astype(float))</t>
  </si>
  <si>
    <t xml:space="preserve">    MRA['Def'] = np.floor(.3*MRA['RatingRightDef'].astype(float) \</t>
  </si>
  <si>
    <t xml:space="preserve">    + .4* MRA['RatingMidDef'].astype(float) + .3* MRA['RatingLeftDef'].astype(float))</t>
  </si>
  <si>
    <t>##    3 AIM, 4 WING</t>
  </si>
  <si>
    <t xml:space="preserve">    MRA.loc[(MRA['TacticType']==3),'Att'] = np.floor(.25*MRA['RatingRightAtt'].astype(float) \</t>
  </si>
  <si>
    <t xml:space="preserve">    + .5* MRA['RatingMidAtt'].astype(float) + .25* MRA['RatingLeftAtt'].astype(float))</t>
  </si>
  <si>
    <t xml:space="preserve">    MRA.loc[(MRA['TacticType']==4),'Att'] = np.floor(.35294*MRA['RatingRightAtt'].astype(float) \</t>
  </si>
  <si>
    <t xml:space="preserve">    + .29412* MRA['RatingMidAtt'].astype(float) + .35294* MRA['RatingLeftAtt'].astype(float))</t>
  </si>
  <si>
    <t xml:space="preserve">             </t>
  </si>
  <si>
    <t xml:space="preserve">    MRA['HTScore_Tactic'] = 9</t>
  </si>
  <si>
    <t xml:space="preserve">    MRA.loc[MRA.TacticType.isin([8,2]),'HTScore_Tactic'] = MRA['TacticType']</t>
  </si>
  <si>
    <t>##    MRA.loc[(MRA.TacticType == 8) &amp; (MRA.Att &lt; 20) ,'HTScore_Tactic'] = 8  # removed, now is handling hybrid LS correctly</t>
  </si>
  <si>
    <t xml:space="preserve">    MRA['HTScore_Mid'] = (1000 * MRA['HTScore_Tactic'] + MRA['RatingMidfield']).map(univ.htscore_mid_table).fillna(0)</t>
  </si>
  <si>
    <t xml:space="preserve">    MRA.loc[(MRA['TacticType']==2) &amp; (MRA['RatioMid']&lt;=0.5),'HTScore_Mid'] = (3000 + MRA['RatingMidfield']).map(univ.htscore_mid_table).fillna(0) # extreme CA</t>
  </si>
  <si>
    <t xml:space="preserve">    MRA['HTScore_Att'] = (1000 * MRA['HTScore_Tactic'] + MRA['Att']).map(univ.htscore_att_table).fillna(0)       </t>
  </si>
  <si>
    <t xml:space="preserve">    MRA['HTScore_Def'] = (1000 * MRA['HTScore_Tactic'] + MRA['Def']).map(univ.htscore_def_table).fillna(0)            </t>
  </si>
  <si>
    <t xml:space="preserve">    MRA['HTScore_LS'] = (1000 * MRA['HTScore_Tactic'] + MRA['TacticSkill']).map(univ.htscore_ls_table).fillna(1)            </t>
  </si>
  <si>
    <t xml:space="preserve">    MRA['HTScore'] = 100 * MRA['HTScore_Mid'] * MRA['HTScore_Att'] * MRA['HTScore_Def'] * MRA['HTScore_LS']</t>
  </si>
  <si>
    <t>AIM</t>
  </si>
  <si>
    <t>AOW</t>
  </si>
  <si>
    <t>x</t>
  </si>
  <si>
    <t>HTS</t>
  </si>
  <si>
    <t>HTS_Calc</t>
  </si>
  <si>
    <t>Home</t>
  </si>
  <si>
    <t>Tac</t>
  </si>
  <si>
    <t>TacMid</t>
  </si>
  <si>
    <t>Manmarking (enter # of teams playing MM):</t>
  </si>
  <si>
    <t>N</t>
  </si>
  <si>
    <t>Away</t>
  </si>
  <si>
    <t>Home Derby</t>
  </si>
  <si>
    <t>Away Derby</t>
  </si>
  <si>
    <t>Neutral</t>
  </si>
  <si>
    <t>loc_dict = {'H':0.9,'A':1.1111111,'HD':0.9,'AD':1, 'N': 1}</t>
  </si>
  <si>
    <t>Home/Away:</t>
  </si>
  <si>
    <t>Extra time:</t>
  </si>
  <si>
    <t>HTS:</t>
  </si>
  <si>
    <t>HTSN:</t>
  </si>
  <si>
    <t>Y</t>
  </si>
  <si>
    <t>Notes:</t>
  </si>
  <si>
    <t>For an already played match, do not adjust (HT does this already in match report).</t>
  </si>
  <si>
    <t>HTSN is HTS Neutral (adjusted for location, extra time, manmark)</t>
  </si>
  <si>
    <t>non-ls</t>
  </si>
  <si>
    <t>ls</t>
  </si>
  <si>
    <t>ls N</t>
  </si>
  <si>
    <t>non-LS N</t>
  </si>
  <si>
    <t>GK Stars</t>
  </si>
  <si>
    <t>PNF frequencies revised from latest studies</t>
  </si>
  <si>
    <t>Tech D</t>
  </si>
  <si>
    <t># Tech D</t>
  </si>
  <si>
    <t>MNC</t>
  </si>
  <si>
    <t>T CA</t>
  </si>
  <si>
    <t>CA%</t>
  </si>
  <si>
    <t>Changes v5</t>
  </si>
  <si>
    <t>Tech Defender CA added in</t>
  </si>
  <si>
    <t>Frequency of non-tactical CA more accurate after study</t>
  </si>
  <si>
    <t>PDIM more accurate after study</t>
  </si>
  <si>
    <t>PNF fixed to not be possible after missed Long Shot; more accurate after study</t>
  </si>
  <si>
    <t>C-H Def: All (incl K)</t>
  </si>
  <si>
    <t>C-H Off: All but SP &amp; K</t>
  </si>
  <si>
    <t>actual poss</t>
  </si>
  <si>
    <t>linear poss</t>
  </si>
  <si>
    <t>y/x</t>
  </si>
  <si>
    <t>linear</t>
  </si>
  <si>
    <t>y</t>
  </si>
  <si>
    <t>x=10</t>
  </si>
  <si>
    <t>26 Oct 2025: fix bug; when using Percent, was using Ratings possession for Corner events</t>
  </si>
  <si>
    <t>Win Reg</t>
  </si>
  <si>
    <t>chance of draw in the cup</t>
  </si>
  <si>
    <t>multiply the two factors together</t>
  </si>
  <si>
    <t>first factor is the average xG of the teams</t>
  </si>
  <si>
    <t>second factor is the gap in xG</t>
  </si>
  <si>
    <t>avg xg</t>
  </si>
  <si>
    <t>draw %</t>
  </si>
  <si>
    <t>gap xg</t>
  </si>
  <si>
    <t>adj factor</t>
  </si>
  <si>
    <t>ISP Att Gap</t>
  </si>
  <si>
    <t>Win% PK</t>
  </si>
  <si>
    <t>determine odds to win PKs</t>
  </si>
  <si>
    <t>after 120'</t>
  </si>
  <si>
    <t>based on gap in ISP Attack rating</t>
  </si>
  <si>
    <t>which correlates with set pieces</t>
  </si>
  <si>
    <t>After 90':</t>
  </si>
  <si>
    <t>After 120':</t>
  </si>
  <si>
    <t>Win PK</t>
  </si>
  <si>
    <t>After PK':</t>
  </si>
  <si>
    <t>After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</si>
</sst>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#,##0.000"/>
    <numFmt numFmtId="166" formatCode="0.000%"/>
    <numFmt numFmtId="167" formatCode="0.0000%"/>
    <numFmt numFmtId="168" formatCode="0.0"/>
    <numFmt numFmtId="169" formatCode="#,##0.0000"/>
    <numFmt numFmtId="170" formatCode="0.0000"/>
    <numFmt numFmtId="171" formatCode="#,##0.0"/>
    <numFmt numFmtId="172" formatCode="#,##0.000000"/>
  </numFmts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Roboto"/>
    </font>
    <font>
      <b/>
      <sz val="11"/>
      <color rgb="FF000000"/>
      <name val="Roboto"/>
    </font>
    <font>
      <sz val="10"/>
      <color rgb="FF000000"/>
      <name val="Roboto"/>
    </font>
    <font>
      <sz val="11"/>
      <color theme="1"/>
      <name val="Roboto"/>
    </font>
    <font>
      <sz val="11"/>
      <name val="Calibri"/>
      <family val="2"/>
      <scheme val="minor"/>
    </font>
    <font>
      <i/>
      <sz val="10"/>
      <color rgb="FF707070"/>
      <name val="Roboto"/>
    </font>
    <font>
      <sz val="10"/>
      <color theme="1"/>
      <name val="Calibri"/>
      <family val="2"/>
      <scheme val="minor"/>
    </font>
    <font>
      <sz val="7"/>
      <color rgb="FF000000"/>
      <name val="Roboto"/>
    </font>
    <font>
      <b/>
      <sz val="7"/>
      <color rgb="FF000000"/>
      <name val="Roboto"/>
    </font>
    <font>
      <b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DF1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DE7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DCE0D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CE0D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3" fillId="7" borderId="11" xfId="0" applyFont="1" applyFill="1" applyBorder="1" applyAlignment="1">
      <alignment horizontal="left" vertical="top" wrapText="1"/>
    </xf>
    <xf numFmtId="0" fontId="4" fillId="7" borderId="11" xfId="0" applyFont="1" applyFill="1" applyBorder="1" applyAlignment="1">
      <alignment horizontal="left" vertical="top" wrapText="1"/>
    </xf>
    <xf numFmtId="0" fontId="5" fillId="8" borderId="12" xfId="0" applyFont="1" applyFill="1" applyBorder="1" applyAlignment="1">
      <alignment horizontal="left" vertical="top" wrapText="1"/>
    </xf>
    <xf numFmtId="10" fontId="5" fillId="8" borderId="12" xfId="0" applyNumberFormat="1" applyFont="1" applyFill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9" fontId="5" fillId="8" borderId="12" xfId="0" applyNumberFormat="1" applyFont="1" applyFill="1" applyBorder="1" applyAlignment="1">
      <alignment horizontal="left" vertical="top" wrapText="1"/>
    </xf>
    <xf numFmtId="3" fontId="0" fillId="0" borderId="0" xfId="0" applyNumberFormat="1"/>
    <xf numFmtId="0" fontId="2" fillId="9" borderId="13" xfId="0" applyFont="1" applyFill="1" applyBorder="1"/>
    <xf numFmtId="0" fontId="0" fillId="0" borderId="0" xfId="0" applyAlignment="1">
      <alignment horizontal="left"/>
    </xf>
    <xf numFmtId="0" fontId="2" fillId="9" borderId="14" xfId="0" applyFont="1" applyFill="1" applyBorder="1" applyAlignment="1">
      <alignment horizontal="left"/>
    </xf>
    <xf numFmtId="0" fontId="2" fillId="9" borderId="14" xfId="0" applyFont="1" applyFill="1" applyBorder="1"/>
    <xf numFmtId="9" fontId="2" fillId="9" borderId="14" xfId="0" applyNumberFormat="1" applyFont="1" applyFill="1" applyBorder="1"/>
    <xf numFmtId="0" fontId="2" fillId="9" borderId="0" xfId="0" applyFont="1" applyFill="1"/>
    <xf numFmtId="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8" xfId="0" applyBorder="1" applyAlignment="1">
      <alignment horizontal="center"/>
    </xf>
    <xf numFmtId="4" fontId="0" fillId="3" borderId="10" xfId="0" applyNumberFormat="1" applyFill="1" applyBorder="1" applyAlignment="1">
      <alignment horizontal="center"/>
    </xf>
    <xf numFmtId="4" fontId="1" fillId="3" borderId="10" xfId="0" applyNumberFormat="1" applyFont="1" applyFill="1" applyBorder="1" applyAlignment="1">
      <alignment horizontal="center"/>
    </xf>
    <xf numFmtId="9" fontId="2" fillId="3" borderId="15" xfId="0" applyNumberFormat="1" applyFont="1" applyFill="1" applyBorder="1" applyAlignment="1">
      <alignment horizontal="center"/>
    </xf>
    <xf numFmtId="0" fontId="3" fillId="7" borderId="18" xfId="0" applyFont="1" applyFill="1" applyBorder="1" applyAlignment="1">
      <alignment horizontal="left" vertical="top" wrapText="1"/>
    </xf>
    <xf numFmtId="164" fontId="5" fillId="8" borderId="12" xfId="0" applyNumberFormat="1" applyFont="1" applyFill="1" applyBorder="1" applyAlignment="1">
      <alignment horizontal="left" vertical="top" wrapText="1"/>
    </xf>
    <xf numFmtId="166" fontId="0" fillId="0" borderId="0" xfId="0" applyNumberFormat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9" fontId="6" fillId="0" borderId="12" xfId="0" applyNumberFormat="1" applyFont="1" applyBorder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3" fillId="7" borderId="23" xfId="0" applyFont="1" applyFill="1" applyBorder="1" applyAlignment="1">
      <alignment horizontal="left" vertical="top" wrapText="1"/>
    </xf>
    <xf numFmtId="167" fontId="0" fillId="0" borderId="0" xfId="0" applyNumberFormat="1"/>
    <xf numFmtId="0" fontId="3" fillId="7" borderId="0" xfId="0" applyFont="1" applyFill="1" applyAlignment="1">
      <alignment horizontal="left" vertical="top" wrapText="1"/>
    </xf>
    <xf numFmtId="9" fontId="5" fillId="8" borderId="0" xfId="0" applyNumberFormat="1" applyFont="1" applyFill="1" applyAlignment="1">
      <alignment horizontal="left" vertical="top" wrapText="1"/>
    </xf>
    <xf numFmtId="164" fontId="5" fillId="8" borderId="0" xfId="0" applyNumberFormat="1" applyFont="1" applyFill="1" applyAlignment="1">
      <alignment horizontal="left" vertical="top" wrapText="1"/>
    </xf>
    <xf numFmtId="9" fontId="5" fillId="8" borderId="23" xfId="0" applyNumberFormat="1" applyFont="1" applyFill="1" applyBorder="1" applyAlignment="1">
      <alignment horizontal="left" vertical="top" wrapText="1"/>
    </xf>
    <xf numFmtId="0" fontId="3" fillId="7" borderId="24" xfId="0" applyFont="1" applyFill="1" applyBorder="1" applyAlignment="1">
      <alignment horizontal="left" vertical="top" wrapText="1"/>
    </xf>
    <xf numFmtId="0" fontId="9" fillId="0" borderId="0" xfId="0" applyFont="1"/>
    <xf numFmtId="0" fontId="0" fillId="0" borderId="10" xfId="0" applyBorder="1"/>
    <xf numFmtId="165" fontId="0" fillId="0" borderId="10" xfId="0" applyNumberFormat="1" applyBorder="1"/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9" fontId="0" fillId="11" borderId="0" xfId="0" applyNumberFormat="1" applyFill="1"/>
    <xf numFmtId="9" fontId="0" fillId="12" borderId="0" xfId="0" applyNumberFormat="1" applyFill="1"/>
    <xf numFmtId="0" fontId="10" fillId="8" borderId="12" xfId="0" applyFont="1" applyFill="1" applyBorder="1" applyAlignment="1">
      <alignment horizontal="left" vertical="top" wrapText="1"/>
    </xf>
    <xf numFmtId="0" fontId="11" fillId="7" borderId="24" xfId="0" applyFont="1" applyFill="1" applyBorder="1" applyAlignment="1">
      <alignment horizontal="left" vertical="top" wrapText="1"/>
    </xf>
    <xf numFmtId="9" fontId="10" fillId="8" borderId="12" xfId="0" applyNumberFormat="1" applyFont="1" applyFill="1" applyBorder="1" applyAlignment="1">
      <alignment horizontal="left" vertical="top" wrapText="1"/>
    </xf>
    <xf numFmtId="0" fontId="12" fillId="7" borderId="24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9" fontId="0" fillId="0" borderId="12" xfId="0" applyNumberFormat="1" applyBorder="1" applyAlignment="1">
      <alignment horizontal="left" vertical="top" wrapText="1"/>
    </xf>
    <xf numFmtId="0" fontId="0" fillId="0" borderId="22" xfId="0" applyBorder="1"/>
    <xf numFmtId="0" fontId="0" fillId="0" borderId="17" xfId="0" applyBorder="1" applyAlignment="1">
      <alignment horizontal="center"/>
    </xf>
    <xf numFmtId="10" fontId="10" fillId="8" borderId="12" xfId="0" applyNumberFormat="1" applyFont="1" applyFill="1" applyBorder="1" applyAlignment="1">
      <alignment horizontal="left" vertical="top" wrapText="1"/>
    </xf>
    <xf numFmtId="164" fontId="10" fillId="8" borderId="12" xfId="0" applyNumberFormat="1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0" fillId="8" borderId="12" xfId="0" quotePrefix="1" applyFont="1" applyFill="1" applyBorder="1" applyAlignment="1">
      <alignment horizontal="left" vertical="top" wrapText="1"/>
    </xf>
    <xf numFmtId="16" fontId="10" fillId="8" borderId="12" xfId="0" quotePrefix="1" applyNumberFormat="1" applyFont="1" applyFill="1" applyBorder="1" applyAlignment="1">
      <alignment horizontal="left" vertical="top" wrapText="1"/>
    </xf>
    <xf numFmtId="9" fontId="0" fillId="5" borderId="0" xfId="0" applyNumberFormat="1" applyFill="1" applyAlignment="1">
      <alignment horizontal="center"/>
    </xf>
    <xf numFmtId="0" fontId="2" fillId="0" borderId="0" xfId="0" applyFont="1"/>
    <xf numFmtId="0" fontId="0" fillId="6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/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0" xfId="0" applyFill="1"/>
    <xf numFmtId="0" fontId="0" fillId="4" borderId="31" xfId="0" applyFill="1" applyBorder="1"/>
    <xf numFmtId="0" fontId="0" fillId="4" borderId="0" xfId="0" applyFill="1" applyAlignment="1">
      <alignment horizontal="right"/>
    </xf>
    <xf numFmtId="0" fontId="0" fillId="4" borderId="6" xfId="0" applyFill="1" applyBorder="1"/>
    <xf numFmtId="0" fontId="0" fillId="4" borderId="6" xfId="0" applyFill="1" applyBorder="1" applyAlignment="1">
      <alignment horizontal="right"/>
    </xf>
    <xf numFmtId="0" fontId="0" fillId="4" borderId="27" xfId="0" applyFill="1" applyBorder="1"/>
    <xf numFmtId="9" fontId="0" fillId="4" borderId="0" xfId="0" applyNumberFormat="1" applyFill="1"/>
    <xf numFmtId="0" fontId="0" fillId="4" borderId="33" xfId="0" applyFill="1" applyBorder="1"/>
    <xf numFmtId="0" fontId="0" fillId="13" borderId="27" xfId="0" applyFill="1" applyBorder="1"/>
    <xf numFmtId="0" fontId="0" fillId="13" borderId="28" xfId="0" applyFill="1" applyBorder="1"/>
    <xf numFmtId="4" fontId="0" fillId="13" borderId="29" xfId="0" applyNumberFormat="1" applyFill="1" applyBorder="1" applyAlignment="1">
      <alignment horizontal="center"/>
    </xf>
    <xf numFmtId="4" fontId="0" fillId="13" borderId="30" xfId="0" applyNumberFormat="1" applyFill="1" applyBorder="1" applyAlignment="1">
      <alignment horizontal="center"/>
    </xf>
    <xf numFmtId="4" fontId="0" fillId="13" borderId="0" xfId="0" applyNumberFormat="1" applyFill="1" applyAlignment="1">
      <alignment horizontal="center"/>
    </xf>
    <xf numFmtId="9" fontId="0" fillId="13" borderId="0" xfId="0" applyNumberFormat="1" applyFill="1" applyAlignment="1">
      <alignment horizontal="center"/>
    </xf>
    <xf numFmtId="4" fontId="0" fillId="13" borderId="31" xfId="0" applyNumberFormat="1" applyFill="1" applyBorder="1" applyAlignment="1">
      <alignment horizontal="center"/>
    </xf>
    <xf numFmtId="164" fontId="0" fillId="13" borderId="0" xfId="0" applyNumberFormat="1" applyFill="1" applyAlignment="1">
      <alignment horizontal="center"/>
    </xf>
    <xf numFmtId="2" fontId="0" fillId="13" borderId="30" xfId="0" applyNumberFormat="1" applyFill="1" applyBorder="1" applyAlignment="1">
      <alignment horizontal="center"/>
    </xf>
    <xf numFmtId="2" fontId="0" fillId="13" borderId="0" xfId="0" applyNumberFormat="1" applyFill="1" applyAlignment="1">
      <alignment horizontal="center"/>
    </xf>
    <xf numFmtId="2" fontId="0" fillId="13" borderId="31" xfId="0" applyNumberFormat="1" applyFill="1" applyBorder="1" applyAlignment="1">
      <alignment horizontal="center"/>
    </xf>
    <xf numFmtId="0" fontId="0" fillId="13" borderId="30" xfId="0" applyFill="1" applyBorder="1"/>
    <xf numFmtId="0" fontId="0" fillId="13" borderId="0" xfId="0" applyFill="1"/>
    <xf numFmtId="0" fontId="0" fillId="13" borderId="31" xfId="0" applyFill="1" applyBorder="1"/>
    <xf numFmtId="0" fontId="0" fillId="13" borderId="0" xfId="0" applyFill="1" applyAlignment="1">
      <alignment horizontal="center"/>
    </xf>
    <xf numFmtId="0" fontId="0" fillId="13" borderId="31" xfId="0" applyFill="1" applyBorder="1" applyAlignment="1">
      <alignment horizontal="center"/>
    </xf>
    <xf numFmtId="9" fontId="0" fillId="13" borderId="30" xfId="0" applyNumberFormat="1" applyFill="1" applyBorder="1" applyAlignment="1">
      <alignment horizontal="center"/>
    </xf>
    <xf numFmtId="3" fontId="0" fillId="13" borderId="30" xfId="0" applyNumberFormat="1" applyFill="1" applyBorder="1" applyAlignment="1">
      <alignment horizontal="center"/>
    </xf>
    <xf numFmtId="3" fontId="0" fillId="13" borderId="0" xfId="0" applyNumberFormat="1" applyFill="1" applyAlignment="1">
      <alignment horizontal="center"/>
    </xf>
    <xf numFmtId="164" fontId="0" fillId="13" borderId="31" xfId="0" applyNumberFormat="1" applyFill="1" applyBorder="1" applyAlignment="1">
      <alignment horizontal="center"/>
    </xf>
    <xf numFmtId="3" fontId="0" fillId="13" borderId="32" xfId="0" applyNumberFormat="1" applyFill="1" applyBorder="1" applyAlignment="1">
      <alignment horizontal="center"/>
    </xf>
    <xf numFmtId="0" fontId="0" fillId="13" borderId="6" xfId="0" applyFill="1" applyBorder="1"/>
    <xf numFmtId="164" fontId="0" fillId="13" borderId="6" xfId="0" applyNumberFormat="1" applyFill="1" applyBorder="1" applyAlignment="1">
      <alignment horizontal="center"/>
    </xf>
    <xf numFmtId="164" fontId="0" fillId="13" borderId="33" xfId="0" applyNumberFormat="1" applyFill="1" applyBorder="1" applyAlignment="1">
      <alignment horizontal="center"/>
    </xf>
    <xf numFmtId="0" fontId="0" fillId="13" borderId="29" xfId="0" applyFill="1" applyBorder="1"/>
    <xf numFmtId="0" fontId="0" fillId="13" borderId="32" xfId="0" applyFill="1" applyBorder="1"/>
    <xf numFmtId="0" fontId="0" fillId="13" borderId="33" xfId="0" applyFill="1" applyBorder="1"/>
    <xf numFmtId="4" fontId="0" fillId="13" borderId="0" xfId="0" applyNumberFormat="1" applyFill="1" applyAlignment="1">
      <alignment horizontal="right"/>
    </xf>
    <xf numFmtId="0" fontId="0" fillId="13" borderId="0" xfId="0" applyFill="1" applyAlignment="1">
      <alignment horizontal="right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13" borderId="35" xfId="0" applyFill="1" applyBorder="1" applyAlignment="1">
      <alignment horizontal="center"/>
    </xf>
    <xf numFmtId="4" fontId="0" fillId="13" borderId="35" xfId="0" applyNumberFormat="1" applyFill="1" applyBorder="1" applyAlignment="1">
      <alignment horizontal="center"/>
    </xf>
    <xf numFmtId="9" fontId="0" fillId="13" borderId="35" xfId="0" applyNumberFormat="1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4" fontId="0" fillId="13" borderId="17" xfId="0" applyNumberFormat="1" applyFill="1" applyBorder="1" applyAlignment="1">
      <alignment horizontal="center"/>
    </xf>
    <xf numFmtId="0" fontId="0" fillId="0" borderId="36" xfId="0" applyBorder="1"/>
    <xf numFmtId="0" fontId="0" fillId="2" borderId="35" xfId="0" applyFill="1" applyBorder="1"/>
    <xf numFmtId="0" fontId="0" fillId="13" borderId="35" xfId="0" applyFill="1" applyBorder="1"/>
    <xf numFmtId="0" fontId="2" fillId="2" borderId="28" xfId="0" applyFont="1" applyFill="1" applyBorder="1" applyAlignment="1">
      <alignment horizontal="center"/>
    </xf>
    <xf numFmtId="0" fontId="2" fillId="2" borderId="28" xfId="0" applyFont="1" applyFill="1" applyBorder="1"/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17" fontId="2" fillId="2" borderId="0" xfId="0" applyNumberFormat="1" applyFont="1" applyFill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13" borderId="29" xfId="0" applyFont="1" applyFill="1" applyBorder="1" applyAlignment="1">
      <alignment horizontal="center"/>
    </xf>
    <xf numFmtId="3" fontId="0" fillId="13" borderId="33" xfId="0" applyNumberFormat="1" applyFill="1" applyBorder="1" applyAlignment="1">
      <alignment horizontal="center"/>
    </xf>
    <xf numFmtId="4" fontId="2" fillId="13" borderId="29" xfId="0" applyNumberFormat="1" applyFont="1" applyFill="1" applyBorder="1" applyAlignment="1">
      <alignment horizontal="center"/>
    </xf>
    <xf numFmtId="2" fontId="0" fillId="13" borderId="33" xfId="0" applyNumberFormat="1" applyFill="1" applyBorder="1" applyAlignment="1">
      <alignment horizontal="center"/>
    </xf>
    <xf numFmtId="4" fontId="2" fillId="13" borderId="17" xfId="0" applyNumberFormat="1" applyFont="1" applyFill="1" applyBorder="1" applyAlignment="1">
      <alignment horizontal="center"/>
    </xf>
    <xf numFmtId="0" fontId="2" fillId="14" borderId="27" xfId="0" applyFont="1" applyFill="1" applyBorder="1" applyAlignment="1">
      <alignment horizontal="center"/>
    </xf>
    <xf numFmtId="164" fontId="0" fillId="14" borderId="30" xfId="0" applyNumberFormat="1" applyFill="1" applyBorder="1" applyAlignment="1">
      <alignment horizontal="center"/>
    </xf>
    <xf numFmtId="4" fontId="0" fillId="14" borderId="30" xfId="0" applyNumberFormat="1" applyFill="1" applyBorder="1" applyAlignment="1">
      <alignment horizontal="center"/>
    </xf>
    <xf numFmtId="3" fontId="0" fillId="14" borderId="32" xfId="0" applyNumberFormat="1" applyFill="1" applyBorder="1" applyAlignment="1">
      <alignment horizontal="center"/>
    </xf>
    <xf numFmtId="4" fontId="2" fillId="14" borderId="27" xfId="0" applyNumberFormat="1" applyFont="1" applyFill="1" applyBorder="1" applyAlignment="1">
      <alignment horizontal="center"/>
    </xf>
    <xf numFmtId="2" fontId="0" fillId="14" borderId="32" xfId="0" applyNumberFormat="1" applyFill="1" applyBorder="1" applyAlignment="1">
      <alignment horizontal="center"/>
    </xf>
    <xf numFmtId="4" fontId="2" fillId="14" borderId="34" xfId="0" applyNumberFormat="1" applyFont="1" applyFill="1" applyBorder="1" applyAlignment="1">
      <alignment horizontal="center"/>
    </xf>
    <xf numFmtId="4" fontId="0" fillId="14" borderId="27" xfId="0" applyNumberFormat="1" applyFill="1" applyBorder="1" applyAlignment="1">
      <alignment horizontal="center"/>
    </xf>
    <xf numFmtId="0" fontId="0" fillId="14" borderId="28" xfId="0" applyFill="1" applyBorder="1"/>
    <xf numFmtId="0" fontId="0" fillId="14" borderId="29" xfId="0" applyFill="1" applyBorder="1"/>
    <xf numFmtId="4" fontId="0" fillId="14" borderId="0" xfId="0" applyNumberFormat="1" applyFill="1" applyAlignment="1">
      <alignment horizontal="right"/>
    </xf>
    <xf numFmtId="4" fontId="0" fillId="14" borderId="0" xfId="0" applyNumberFormat="1" applyFill="1" applyAlignment="1">
      <alignment horizontal="center"/>
    </xf>
    <xf numFmtId="9" fontId="0" fillId="14" borderId="0" xfId="0" applyNumberFormat="1" applyFill="1" applyAlignment="1">
      <alignment horizontal="center"/>
    </xf>
    <xf numFmtId="4" fontId="0" fillId="14" borderId="31" xfId="0" applyNumberFormat="1" applyFill="1" applyBorder="1" applyAlignment="1">
      <alignment horizontal="center"/>
    </xf>
    <xf numFmtId="164" fontId="0" fillId="14" borderId="0" xfId="0" applyNumberFormat="1" applyFill="1" applyAlignment="1">
      <alignment horizontal="center"/>
    </xf>
    <xf numFmtId="2" fontId="0" fillId="14" borderId="30" xfId="0" applyNumberFormat="1" applyFill="1" applyBorder="1" applyAlignment="1">
      <alignment horizontal="center"/>
    </xf>
    <xf numFmtId="2" fontId="0" fillId="14" borderId="0" xfId="0" applyNumberFormat="1" applyFill="1" applyAlignment="1">
      <alignment horizontal="center"/>
    </xf>
    <xf numFmtId="2" fontId="0" fillId="14" borderId="31" xfId="0" applyNumberFormat="1" applyFill="1" applyBorder="1" applyAlignment="1">
      <alignment horizontal="center"/>
    </xf>
    <xf numFmtId="0" fontId="0" fillId="14" borderId="30" xfId="0" applyFill="1" applyBorder="1"/>
    <xf numFmtId="0" fontId="0" fillId="14" borderId="0" xfId="0" applyFill="1"/>
    <xf numFmtId="0" fontId="0" fillId="14" borderId="31" xfId="0" applyFill="1" applyBorder="1"/>
    <xf numFmtId="0" fontId="0" fillId="14" borderId="30" xfId="0" applyFill="1" applyBorder="1" applyAlignment="1">
      <alignment horizontal="center"/>
    </xf>
    <xf numFmtId="0" fontId="0" fillId="14" borderId="0" xfId="0" applyFill="1" applyAlignment="1">
      <alignment horizontal="center"/>
    </xf>
    <xf numFmtId="9" fontId="0" fillId="14" borderId="30" xfId="0" applyNumberFormat="1" applyFill="1" applyBorder="1" applyAlignment="1">
      <alignment horizontal="center"/>
    </xf>
    <xf numFmtId="0" fontId="0" fillId="14" borderId="0" xfId="0" applyFill="1" applyAlignment="1">
      <alignment horizontal="right"/>
    </xf>
    <xf numFmtId="3" fontId="0" fillId="14" borderId="31" xfId="0" applyNumberFormat="1" applyFill="1" applyBorder="1" applyAlignment="1">
      <alignment horizontal="center"/>
    </xf>
    <xf numFmtId="9" fontId="0" fillId="14" borderId="31" xfId="0" applyNumberFormat="1" applyFill="1" applyBorder="1" applyAlignment="1">
      <alignment horizontal="center"/>
    </xf>
    <xf numFmtId="3" fontId="0" fillId="14" borderId="0" xfId="0" applyNumberFormat="1" applyFill="1" applyAlignment="1">
      <alignment horizontal="center"/>
    </xf>
    <xf numFmtId="0" fontId="0" fillId="14" borderId="6" xfId="0" applyFill="1" applyBorder="1"/>
    <xf numFmtId="0" fontId="0" fillId="14" borderId="6" xfId="0" applyFill="1" applyBorder="1" applyAlignment="1">
      <alignment horizontal="right"/>
    </xf>
    <xf numFmtId="3" fontId="0" fillId="14" borderId="33" xfId="0" applyNumberFormat="1" applyFill="1" applyBorder="1" applyAlignment="1">
      <alignment horizontal="center"/>
    </xf>
    <xf numFmtId="0" fontId="0" fillId="14" borderId="35" xfId="0" applyFill="1" applyBorder="1"/>
    <xf numFmtId="4" fontId="0" fillId="14" borderId="35" xfId="0" applyNumberFormat="1" applyFill="1" applyBorder="1" applyAlignment="1">
      <alignment horizontal="center"/>
    </xf>
    <xf numFmtId="9" fontId="0" fillId="14" borderId="35" xfId="0" applyNumberFormat="1" applyFill="1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7" fillId="14" borderId="35" xfId="0" applyFont="1" applyFill="1" applyBorder="1" applyAlignment="1">
      <alignment horizontal="center"/>
    </xf>
    <xf numFmtId="4" fontId="7" fillId="14" borderId="0" xfId="0" applyNumberFormat="1" applyFont="1" applyFill="1" applyAlignment="1">
      <alignment horizontal="center"/>
    </xf>
    <xf numFmtId="4" fontId="7" fillId="14" borderId="35" xfId="0" applyNumberFormat="1" applyFont="1" applyFill="1" applyBorder="1" applyAlignment="1">
      <alignment horizontal="center"/>
    </xf>
    <xf numFmtId="0" fontId="0" fillId="14" borderId="32" xfId="0" applyFill="1" applyBorder="1"/>
    <xf numFmtId="0" fontId="0" fillId="14" borderId="34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164" fontId="0" fillId="2" borderId="36" xfId="0" applyNumberFormat="1" applyFill="1" applyBorder="1" applyAlignment="1">
      <alignment horizontal="center"/>
    </xf>
    <xf numFmtId="0" fontId="0" fillId="2" borderId="36" xfId="0" applyFill="1" applyBorder="1"/>
    <xf numFmtId="4" fontId="0" fillId="2" borderId="36" xfId="0" applyNumberFormat="1" applyFill="1" applyBorder="1" applyAlignment="1">
      <alignment horizontal="center"/>
    </xf>
    <xf numFmtId="4" fontId="0" fillId="2" borderId="25" xfId="0" applyNumberFormat="1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4" fontId="0" fillId="2" borderId="10" xfId="0" applyNumberFormat="1" applyFill="1" applyBorder="1" applyAlignment="1">
      <alignment horizontal="center"/>
    </xf>
    <xf numFmtId="9" fontId="0" fillId="14" borderId="34" xfId="0" applyNumberFormat="1" applyFill="1" applyBorder="1" applyAlignment="1">
      <alignment horizontal="center"/>
    </xf>
    <xf numFmtId="4" fontId="0" fillId="14" borderId="17" xfId="0" applyNumberFormat="1" applyFill="1" applyBorder="1" applyAlignment="1">
      <alignment horizontal="center"/>
    </xf>
    <xf numFmtId="9" fontId="0" fillId="13" borderId="34" xfId="0" applyNumberFormat="1" applyFill="1" applyBorder="1" applyAlignment="1">
      <alignment horizontal="center"/>
    </xf>
    <xf numFmtId="4" fontId="2" fillId="14" borderId="28" xfId="0" applyNumberFormat="1" applyFont="1" applyFill="1" applyBorder="1" applyAlignment="1">
      <alignment horizontal="center"/>
    </xf>
    <xf numFmtId="4" fontId="2" fillId="13" borderId="28" xfId="0" applyNumberFormat="1" applyFont="1" applyFill="1" applyBorder="1" applyAlignment="1">
      <alignment horizontal="center"/>
    </xf>
    <xf numFmtId="0" fontId="0" fillId="10" borderId="0" xfId="0" applyFill="1" applyAlignment="1">
      <alignment horizontal="left"/>
    </xf>
    <xf numFmtId="164" fontId="0" fillId="14" borderId="32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9" fontId="0" fillId="5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5" borderId="8" xfId="0" applyNumberFormat="1" applyFill="1" applyBorder="1" applyAlignment="1">
      <alignment horizontal="center"/>
    </xf>
    <xf numFmtId="9" fontId="0" fillId="5" borderId="9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0" xfId="0" applyFill="1" applyAlignment="1">
      <alignment horizontal="left"/>
    </xf>
    <xf numFmtId="0" fontId="0" fillId="10" borderId="10" xfId="0" applyFill="1" applyBorder="1"/>
    <xf numFmtId="0" fontId="0" fillId="15" borderId="10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7" fillId="15" borderId="10" xfId="0" applyFont="1" applyFill="1" applyBorder="1" applyAlignment="1">
      <alignment horizontal="center"/>
    </xf>
    <xf numFmtId="4" fontId="7" fillId="10" borderId="0" xfId="0" applyNumberFormat="1" applyFont="1" applyFill="1" applyAlignment="1">
      <alignment horizontal="center"/>
    </xf>
    <xf numFmtId="168" fontId="7" fillId="10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5" xfId="0" applyFont="1" applyFill="1" applyBorder="1" applyAlignment="1">
      <alignment horizontal="left"/>
    </xf>
    <xf numFmtId="4" fontId="7" fillId="10" borderId="8" xfId="0" applyNumberFormat="1" applyFont="1" applyFill="1" applyBorder="1" applyAlignment="1">
      <alignment horizontal="center"/>
    </xf>
    <xf numFmtId="168" fontId="7" fillId="10" borderId="8" xfId="0" applyNumberFormat="1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15" borderId="32" xfId="0" applyFill="1" applyBorder="1" applyAlignment="1">
      <alignment horizontal="center"/>
    </xf>
    <xf numFmtId="0" fontId="0" fillId="15" borderId="37" xfId="0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indent="1"/>
    </xf>
    <xf numFmtId="4" fontId="0" fillId="13" borderId="0" xfId="0" applyNumberFormat="1" applyFill="1"/>
    <xf numFmtId="4" fontId="0" fillId="13" borderId="31" xfId="0" applyNumberFormat="1" applyFill="1" applyBorder="1"/>
    <xf numFmtId="4" fontId="0" fillId="16" borderId="0" xfId="0" applyNumberFormat="1" applyFill="1"/>
    <xf numFmtId="0" fontId="0" fillId="0" borderId="0" xfId="0" quotePrefix="1"/>
    <xf numFmtId="164" fontId="0" fillId="16" borderId="0" xfId="0" applyNumberFormat="1" applyFill="1"/>
    <xf numFmtId="0" fontId="0" fillId="16" borderId="0" xfId="0" applyFill="1"/>
    <xf numFmtId="169" fontId="0" fillId="0" borderId="0" xfId="0" applyNumberFormat="1"/>
    <xf numFmtId="170" fontId="0" fillId="0" borderId="0" xfId="0" applyNumberFormat="1"/>
    <xf numFmtId="170" fontId="0" fillId="16" borderId="0" xfId="0" applyNumberFormat="1" applyFill="1"/>
    <xf numFmtId="17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10" borderId="10" xfId="0" applyFill="1" applyBorder="1" applyAlignment="1">
      <alignment horizontal="center"/>
    </xf>
    <xf numFmtId="3" fontId="0" fillId="17" borderId="10" xfId="0" applyNumberFormat="1" applyFill="1" applyBorder="1" applyAlignment="1">
      <alignment horizontal="center"/>
    </xf>
    <xf numFmtId="3" fontId="0" fillId="13" borderId="10" xfId="0" applyNumberFormat="1" applyFill="1" applyBorder="1" applyAlignment="1">
      <alignment horizontal="center"/>
    </xf>
    <xf numFmtId="165" fontId="0" fillId="0" borderId="0" xfId="0" applyNumberFormat="1"/>
    <xf numFmtId="165" fontId="0" fillId="14" borderId="0" xfId="0" applyNumberForma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4" fontId="0" fillId="4" borderId="0" xfId="0" applyNumberFormat="1" applyFill="1"/>
    <xf numFmtId="164" fontId="0" fillId="14" borderId="0" xfId="0" applyNumberFormat="1" applyFill="1"/>
    <xf numFmtId="164" fontId="0" fillId="2" borderId="35" xfId="0" applyNumberFormat="1" applyFill="1" applyBorder="1" applyAlignment="1">
      <alignment horizontal="center"/>
    </xf>
    <xf numFmtId="9" fontId="0" fillId="2" borderId="35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172" fontId="0" fillId="13" borderId="35" xfId="0" applyNumberForma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6DE7F7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0920-58D1-4E1C-ACA5-707C0B8C1E09}">
  <dimension ref="B1:BH82"/>
  <sheetViews>
    <sheetView tabSelected="1" zoomScale="85" zoomScaleNormal="85" workbookViewId="0"/>
  </sheetViews>
  <sheetFormatPr defaultRowHeight="15"/>
  <cols>
    <col min="1" max="1" width="14.42578125" customWidth="1"/>
    <col min="15" max="15" width="10.7109375" customWidth="1"/>
    <col min="16" max="16" width="9.42578125" bestFit="1" customWidth="1"/>
    <col min="17" max="17" width="12" bestFit="1" customWidth="1"/>
    <col min="18" max="33" width="10.140625" customWidth="1"/>
    <col min="35" max="35" width="20.42578125" customWidth="1"/>
    <col min="36" max="36" width="11.28515625" customWidth="1"/>
    <col min="52" max="52" width="12" bestFit="1" customWidth="1"/>
    <col min="54" max="54" width="12" bestFit="1" customWidth="1"/>
    <col min="57" max="57" width="22.140625" customWidth="1"/>
    <col min="58" max="58" width="20.85546875" customWidth="1"/>
    <col min="59" max="59" width="25.140625" customWidth="1"/>
  </cols>
  <sheetData>
    <row r="1" spans="2:60">
      <c r="B1" s="76" t="s">
        <v>284</v>
      </c>
      <c r="H1" s="206" t="s">
        <v>335</v>
      </c>
      <c r="I1" s="206"/>
      <c r="J1" s="206"/>
      <c r="K1" s="206"/>
      <c r="P1" s="151" t="s">
        <v>292</v>
      </c>
      <c r="Q1" s="140" t="s">
        <v>293</v>
      </c>
      <c r="R1" s="146" t="s">
        <v>294</v>
      </c>
      <c r="S1" s="1"/>
      <c r="T1" s="1"/>
      <c r="U1" s="1"/>
      <c r="V1" s="158"/>
      <c r="W1" s="159"/>
      <c r="X1" s="204" t="str">
        <f>B15</f>
        <v>Team A</v>
      </c>
      <c r="Y1" s="159"/>
      <c r="Z1" s="159"/>
      <c r="AA1" s="160"/>
      <c r="AB1" s="101"/>
      <c r="AC1" s="102"/>
      <c r="AD1" s="205" t="str">
        <f>B19</f>
        <v>Team B</v>
      </c>
      <c r="AE1" s="102"/>
      <c r="AF1" s="102"/>
      <c r="AG1" s="103"/>
    </row>
    <row r="2" spans="2:60" ht="15.75" thickBot="1">
      <c r="B2" t="s">
        <v>289</v>
      </c>
      <c r="H2" s="222" t="s">
        <v>346</v>
      </c>
      <c r="I2" s="1"/>
      <c r="J2" s="1"/>
      <c r="O2" s="208" t="s">
        <v>480</v>
      </c>
      <c r="P2" s="152">
        <f>+S38</f>
        <v>0.69244254482418643</v>
      </c>
      <c r="Q2" s="10">
        <f>+T38</f>
        <v>0.190991628369096</v>
      </c>
      <c r="R2" s="120">
        <f>+U38</f>
        <v>0.11656582680671748</v>
      </c>
      <c r="S2" s="1"/>
      <c r="T2" s="87" t="s">
        <v>298</v>
      </c>
      <c r="U2" s="9">
        <v>10</v>
      </c>
      <c r="V2" s="153"/>
      <c r="W2" s="161" t="s">
        <v>255</v>
      </c>
      <c r="X2" s="162">
        <f>U3*IF($D$4="Percent",C7,C11)</f>
        <v>8</v>
      </c>
      <c r="Y2" s="162" t="s">
        <v>251</v>
      </c>
      <c r="Z2" s="163">
        <f>VLOOKUP(IF(OR(C11&gt;=0.5,AA31=0),COUNTA($I$13:$M$13)&amp;"D",AA31),lkup_simul!$BH:$BI,2,FALSE)+VLOOKUP(COUNTIF($I$13:$M$13,"T"),lkup_simul!$GI$2:$GM$7,5,FALSE)</f>
        <v>4.3282330049341303E-2</v>
      </c>
      <c r="AA2" s="164"/>
      <c r="AB2" s="104"/>
      <c r="AC2" s="128" t="s">
        <v>191</v>
      </c>
      <c r="AD2" s="105">
        <f>U3*IF($D$4="Percent",C8,C12)</f>
        <v>1.9999999999999996</v>
      </c>
      <c r="AE2" s="105" t="s">
        <v>251</v>
      </c>
      <c r="AF2" s="106">
        <f>VLOOKUP(IF(OR(C12&gt;=0.5,AB31=0),COUNTA($I$19:$M$19)&amp;"D",AB31),lkup_simul!$BH:$BI,2,FALSE)+VLOOKUP(COUNTIF($I$19:$M$19,"T"),lkup_simul!$GI$2:$GM$7,5,FALSE)</f>
        <v>3.6575107482695303E-2</v>
      </c>
      <c r="AG2" s="107"/>
      <c r="AL2" s="7"/>
      <c r="AM2" s="7"/>
      <c r="AN2">
        <v>3.5</v>
      </c>
      <c r="AO2">
        <f>+IF(AND(AA33&gt;0,AB33=0),4,IF(AND(AB33&gt;0,AA33=0),2.5,3.5))</f>
        <v>2.5</v>
      </c>
      <c r="AP2">
        <f>+IF(AO2=4,2.5,IF(AO2=2.5,4,3.5))</f>
        <v>4</v>
      </c>
    </row>
    <row r="3" spans="2:60" ht="15.75" thickBot="1">
      <c r="B3" t="s">
        <v>288</v>
      </c>
      <c r="H3" s="20" t="s">
        <v>358</v>
      </c>
      <c r="O3" s="58"/>
      <c r="P3" s="152">
        <f>+P2/(P2+R2)</f>
        <v>0.8559151785144955</v>
      </c>
      <c r="Q3" s="142" t="s">
        <v>465</v>
      </c>
      <c r="R3" s="120">
        <f>1-P3</f>
        <v>0.1440848214855045</v>
      </c>
      <c r="S3" s="85"/>
      <c r="T3" s="88" t="s">
        <v>299</v>
      </c>
      <c r="U3" s="9">
        <f>U2-VLOOKUP(AA34,lkup_simul!$G:$H,2,FALSE)-VLOOKUP(AB34,lkup_simul!$G:$H,2,FALSE)</f>
        <v>10</v>
      </c>
      <c r="V3" s="153"/>
      <c r="W3" s="161" t="s">
        <v>256</v>
      </c>
      <c r="X3" s="162">
        <f>X2*(1-VLOOKUP(AB17,lkup_simul!$D$8:$E$11,2,FALSE))</f>
        <v>8</v>
      </c>
      <c r="Y3" s="162" t="s">
        <v>277</v>
      </c>
      <c r="Z3" s="165">
        <f>0.05*(SUM(AP11:AP12)-SUM(AT11:AT12))</f>
        <v>1.5404291452702695E-2</v>
      </c>
      <c r="AA3" s="164"/>
      <c r="AB3" s="104"/>
      <c r="AC3" s="128" t="s">
        <v>190</v>
      </c>
      <c r="AD3" s="105">
        <f>AD2*(1-VLOOKUP(AA17,lkup_simul!$D$8:$E$11,2,FALSE))</f>
        <v>1.8706936866718624</v>
      </c>
      <c r="AE3" s="105" t="s">
        <v>277</v>
      </c>
      <c r="AF3" s="108">
        <f>0.05*(SUM(AO11:AO12)-SUM(AS11:AS12))</f>
        <v>0</v>
      </c>
      <c r="AG3" s="107"/>
      <c r="AN3" t="s">
        <v>226</v>
      </c>
      <c r="AO3" s="6">
        <f>+VLOOKUP(AH33,lkup_simul!$AA:$AI,8,TRUE)*AI33</f>
        <v>2.0499999999999989</v>
      </c>
      <c r="AP3" s="6"/>
      <c r="BE3" s="12" t="s">
        <v>126</v>
      </c>
      <c r="BF3" s="12" t="s">
        <v>127</v>
      </c>
      <c r="BG3" s="12" t="s">
        <v>128</v>
      </c>
    </row>
    <row r="4" spans="2:60" ht="16.5" thickTop="1" thickBot="1">
      <c r="B4" s="20" t="s">
        <v>285</v>
      </c>
      <c r="D4" s="56" t="s">
        <v>286</v>
      </c>
      <c r="H4" s="20" t="s">
        <v>355</v>
      </c>
      <c r="J4" s="223" t="s">
        <v>356</v>
      </c>
      <c r="O4" s="272" t="s">
        <v>481</v>
      </c>
      <c r="P4" s="152">
        <f>+P2+(Q2-Q4)*P3</f>
        <v>0.78261498224198056</v>
      </c>
      <c r="Q4" s="10">
        <f>+VLOOKUP(AVERAGE(P7,R7),lkup_simul!$GX$7:$GY$19,2,TRUE)*VLOOKUP(ABS(P7-R7),lkup_simul!$HA$7:$HB$28,2,TRUE)*Q2</f>
        <v>8.5639556480039111E-2</v>
      </c>
      <c r="R4" s="120">
        <f>+R2+(Q2-Q4)*R3</f>
        <v>0.13174546127798029</v>
      </c>
      <c r="S4" s="10"/>
      <c r="T4" s="1"/>
      <c r="U4" s="1"/>
      <c r="V4" s="166"/>
      <c r="W4" s="167" t="s">
        <v>275</v>
      </c>
      <c r="X4" s="163">
        <f>VLOOKUP(AA32,lkup_simul!$FP:$FQ,2,TRUE)*VLOOKUP(AB34,lkup_simul!$FS:$FT,2,TRUE)</f>
        <v>0</v>
      </c>
      <c r="Y4" s="167" t="s">
        <v>252</v>
      </c>
      <c r="Z4" s="162">
        <f>AB16*Z2+Z3</f>
        <v>9.4409140785685103E-2</v>
      </c>
      <c r="AA4" s="168"/>
      <c r="AB4" s="109"/>
      <c r="AC4" s="110" t="s">
        <v>275</v>
      </c>
      <c r="AD4" s="106">
        <f>VLOOKUP(AB32,lkup_simul!$FP:$FQ,2,TRUE)*VLOOKUP(AA34,lkup_simul!$FS:$FT,2,TRUE)</f>
        <v>0</v>
      </c>
      <c r="AE4" s="110" t="s">
        <v>252</v>
      </c>
      <c r="AF4" s="105">
        <f>AA16*AF2</f>
        <v>0.23527852389127515</v>
      </c>
      <c r="AG4" s="111"/>
      <c r="AI4" s="56" t="s">
        <v>322</v>
      </c>
      <c r="AJ4" s="56" t="s">
        <v>43</v>
      </c>
      <c r="AK4" s="130" t="s">
        <v>14</v>
      </c>
      <c r="AL4" s="130" t="s">
        <v>336</v>
      </c>
      <c r="AM4" s="130" t="s">
        <v>337</v>
      </c>
      <c r="AN4" s="130" t="s">
        <v>312</v>
      </c>
      <c r="AO4" s="130" t="s">
        <v>313</v>
      </c>
      <c r="AP4" s="130" t="s">
        <v>314</v>
      </c>
      <c r="AQ4" s="130" t="s">
        <v>338</v>
      </c>
      <c r="AR4" s="130" t="s">
        <v>339</v>
      </c>
      <c r="AS4" s="130" t="s">
        <v>124</v>
      </c>
      <c r="AT4" s="69" t="s">
        <v>125</v>
      </c>
      <c r="AU4" s="2" t="s">
        <v>387</v>
      </c>
      <c r="AV4" s="2" t="s">
        <v>388</v>
      </c>
      <c r="AW4" s="2" t="s">
        <v>366</v>
      </c>
      <c r="AX4" s="2" t="s">
        <v>27</v>
      </c>
      <c r="AY4" s="2" t="s">
        <v>216</v>
      </c>
      <c r="BA4" s="2" t="s">
        <v>421</v>
      </c>
      <c r="BB4" s="2" t="s">
        <v>0</v>
      </c>
      <c r="BC4" s="2" t="s">
        <v>1</v>
      </c>
      <c r="BE4" s="14" t="s">
        <v>129</v>
      </c>
      <c r="BF4" s="14" t="s">
        <v>130</v>
      </c>
      <c r="BG4" s="14" t="s">
        <v>131</v>
      </c>
    </row>
    <row r="5" spans="2:60" ht="15.75" thickBot="1">
      <c r="C5" s="20"/>
      <c r="D5" s="20"/>
      <c r="E5" s="20"/>
      <c r="H5" s="20"/>
      <c r="O5" s="58"/>
      <c r="P5" s="152">
        <f>+IF(J7&gt;J8,VLOOKUP(ABS(J7-J8)*4,lkup_simul!$HD:$HE,2,TRUE),1-VLOOKUP(ABS(J7-J8)*4,lkup_simul!$HD:$HE,2,TRUE))</f>
        <v>0.59909762578239911</v>
      </c>
      <c r="Q5" s="273" t="s">
        <v>482</v>
      </c>
      <c r="R5" s="120">
        <f>1-P5</f>
        <v>0.40090237421760089</v>
      </c>
      <c r="S5" s="10"/>
      <c r="T5" s="193"/>
      <c r="U5" s="193"/>
      <c r="V5" s="190" t="s">
        <v>334</v>
      </c>
      <c r="W5" s="185" t="s">
        <v>150</v>
      </c>
      <c r="X5" s="185" t="s">
        <v>150</v>
      </c>
      <c r="Y5" s="185" t="s">
        <v>150</v>
      </c>
      <c r="Z5" s="185" t="s">
        <v>253</v>
      </c>
      <c r="AA5" s="191" t="s">
        <v>253</v>
      </c>
      <c r="AB5" s="192"/>
      <c r="AC5" s="132" t="s">
        <v>150</v>
      </c>
      <c r="AD5" s="132" t="s">
        <v>150</v>
      </c>
      <c r="AE5" s="132" t="s">
        <v>150</v>
      </c>
      <c r="AF5" s="270" t="s">
        <v>253</v>
      </c>
      <c r="AG5" s="135" t="s">
        <v>253</v>
      </c>
      <c r="AI5" s="137" t="s">
        <v>323</v>
      </c>
      <c r="AJ5" s="137" t="s">
        <v>214</v>
      </c>
      <c r="AK5" s="10">
        <v>8.7099999999999997E-2</v>
      </c>
      <c r="AL5" s="173">
        <f>COUNTIF($I$11:$M$12,"Q")</f>
        <v>3</v>
      </c>
      <c r="AM5" s="115">
        <f>COUNTIF($I$17:$M$18,"Q")</f>
        <v>3</v>
      </c>
      <c r="AN5" s="78">
        <f>+IFERROR(IF(AL5=AM5,AW5,(AL5^$AW5)/(AL5^$AW5+AM5^$AW5)),0)</f>
        <v>0.42857142857142855</v>
      </c>
      <c r="AO5" s="162">
        <f>+AK5*VLOOKUP(MAX(AL5,AM5),lkup_simul!$DP:$DT,4,FALSE)*AN5*AO$3</f>
        <v>0.2162556128571427</v>
      </c>
      <c r="AP5" s="105">
        <f>+AK5*VLOOKUP(MAX(AL5,AM5),lkup_simul!$DP:$DT,4,FALSE)*(1-AN5)*AO$3</f>
        <v>0.28834081714285692</v>
      </c>
      <c r="AQ5" s="163">
        <f>HLOOKUP($K$8,conv_Kstars!$CB$6:$CY$27,$AY5,FALSE)*AO33</f>
        <v>0.29088050314465408</v>
      </c>
      <c r="AR5" s="106">
        <f>HLOOKUP($K$7,conv_Kstars!$CB$6:$CY$27,$AY5,FALSE)*AO36</f>
        <v>0.28000000000000003</v>
      </c>
      <c r="AS5" s="162">
        <f>+IFERROR(AO5*AQ5,0)</f>
        <v>6.2904541475741191E-2</v>
      </c>
      <c r="AT5" s="107">
        <f>+IFERROR(AP5*AR5,0)</f>
        <v>8.0735428799999939E-2</v>
      </c>
      <c r="AU5" s="58"/>
      <c r="AW5" s="11">
        <f>+IF($AO$2=4,IF(AL5=AM5,(AL5+1)/(AL5+1+AM5),IF(AL5&gt;AM5,$AO$2,$AP$2)),IF($AO$2=2.5,IF(AL5=AM5,(AL5)/(AL5+1+AM5),IF(AL5&gt;AM5,$AO$2,$AP$2)),IF($AO$2=3.5,IF(AL5=AM5,0.5,3.5))))</f>
        <v>0.42857142857142855</v>
      </c>
      <c r="AX5" t="s">
        <v>28</v>
      </c>
      <c r="AY5">
        <v>7</v>
      </c>
      <c r="BA5" t="s">
        <v>290</v>
      </c>
      <c r="BB5" s="11">
        <f>+BE12*D14+BF12*E14+BE12*F14</f>
        <v>13.574999999999999</v>
      </c>
      <c r="BC5" s="11">
        <f>+BE12*D18+BF12*E18+BE12*F18</f>
        <v>13</v>
      </c>
      <c r="BE5" s="14" t="s">
        <v>132</v>
      </c>
      <c r="BF5" s="14" t="s">
        <v>133</v>
      </c>
      <c r="BG5" s="14" t="s">
        <v>134</v>
      </c>
    </row>
    <row r="6" spans="2:60" ht="15.75" thickBot="1">
      <c r="B6" s="216" t="s">
        <v>286</v>
      </c>
      <c r="C6" s="3" t="s">
        <v>295</v>
      </c>
      <c r="D6" s="3" t="s">
        <v>22</v>
      </c>
      <c r="E6" s="3" t="s">
        <v>24</v>
      </c>
      <c r="F6" s="210" t="s">
        <v>25</v>
      </c>
      <c r="H6" s="79"/>
      <c r="I6" s="29" t="s">
        <v>343</v>
      </c>
      <c r="J6" s="29" t="s">
        <v>344</v>
      </c>
      <c r="K6" s="29" t="s">
        <v>444</v>
      </c>
      <c r="L6" s="29" t="s">
        <v>345</v>
      </c>
      <c r="M6" s="30" t="s">
        <v>306</v>
      </c>
      <c r="O6" s="272" t="s">
        <v>483</v>
      </c>
      <c r="P6" s="207">
        <f>+P2+Q2*P46</f>
        <v>0.69244254482418643</v>
      </c>
      <c r="Q6" s="143" t="s">
        <v>484</v>
      </c>
      <c r="R6" s="124">
        <f>+R2+Q2*R46</f>
        <v>0.11656582680671748</v>
      </c>
      <c r="S6" s="9"/>
      <c r="T6" s="194" t="s">
        <v>333</v>
      </c>
      <c r="U6" s="194" t="s">
        <v>309</v>
      </c>
      <c r="V6" s="190" t="s">
        <v>189</v>
      </c>
      <c r="W6" s="185" t="s">
        <v>188</v>
      </c>
      <c r="X6" s="185" t="s">
        <v>9</v>
      </c>
      <c r="Y6" s="185" t="s">
        <v>192</v>
      </c>
      <c r="Z6" s="185" t="s">
        <v>9</v>
      </c>
      <c r="AA6" s="191" t="s">
        <v>192</v>
      </c>
      <c r="AB6" s="192" t="s">
        <v>189</v>
      </c>
      <c r="AC6" s="132" t="s">
        <v>188</v>
      </c>
      <c r="AD6" s="132" t="s">
        <v>9</v>
      </c>
      <c r="AE6" s="132" t="s">
        <v>192</v>
      </c>
      <c r="AF6" s="270" t="s">
        <v>9</v>
      </c>
      <c r="AG6" s="135" t="s">
        <v>192</v>
      </c>
      <c r="AI6" s="137" t="s">
        <v>323</v>
      </c>
      <c r="AJ6" s="137" t="s">
        <v>215</v>
      </c>
      <c r="AK6" s="10">
        <v>8.1500000000000003E-2</v>
      </c>
      <c r="AL6" s="173">
        <f>COUNTIF($I$11:$M$12,"Q")</f>
        <v>3</v>
      </c>
      <c r="AM6" s="115">
        <f>COUNTIF($I$17:$M$18,"Q")</f>
        <v>3</v>
      </c>
      <c r="AN6" s="78">
        <f>+IFERROR(IF(AL6=AM6,AW6,(AL6^$AW6)/(AL6^$AW6+AM6^$AW6)),0)</f>
        <v>0.42857142857142855</v>
      </c>
      <c r="AO6" s="162">
        <f>+AK6*VLOOKUP(MAX(AL6,AM6),lkup_simul!$DP:$DT,4,FALSE)*AN6*AO$3</f>
        <v>0.20235169285714272</v>
      </c>
      <c r="AP6" s="105">
        <f>+AK6*VLOOKUP(MAX(AL6,AM6),lkup_simul!$DP:$DT,4,FALSE)*(1-AN6)*AO$3</f>
        <v>0.26980225714285694</v>
      </c>
      <c r="AQ6" s="163">
        <f>HLOOKUP($K$8,conv_Kstars!$CB$6:$CY$27,$AY6,FALSE)*AO33</f>
        <v>0.35949760765550237</v>
      </c>
      <c r="AR6" s="106">
        <f>HLOOKUP($K$7,conv_Kstars!$CB$6:$CY$27,$AY6,FALSE)*AO36</f>
        <v>0.35449760765550237</v>
      </c>
      <c r="AS6" s="162">
        <f>+IFERROR(AO6*AQ6,0)</f>
        <v>7.274494948718381E-2</v>
      </c>
      <c r="AT6" s="107">
        <f>+IFERROR(AP6*AR6,0)</f>
        <v>9.5644254697197464E-2</v>
      </c>
      <c r="AU6" s="58"/>
      <c r="AW6" s="11">
        <f>+IF($AO$2=4,IF(AL6=AM6,(AL6+1)/(AL6+1+AM6),IF(AL6&gt;AM6,$AO$2,$AP$2)),IF($AO$2=2.5,IF(AL6=AM6,(AL6)/(AL6+1+AM6),IF(AL6&gt;AM6,$AO$2,$AP$2)),IF($AO$2=3.5,IF(AL6=AM6,0.5,3.5))))</f>
        <v>0.42857142857142855</v>
      </c>
      <c r="AX6" t="s">
        <v>28</v>
      </c>
      <c r="AY6">
        <v>6</v>
      </c>
      <c r="BA6" t="s">
        <v>291</v>
      </c>
      <c r="BB6" s="11">
        <f>+BE13*D16+BF13*E16+BE13*F16</f>
        <v>15.7</v>
      </c>
      <c r="BC6" s="11">
        <f>+BE13*D20+BF13*E20+BE13*F20</f>
        <v>15.15</v>
      </c>
      <c r="BE6" s="14" t="s">
        <v>135</v>
      </c>
      <c r="BF6" s="14" t="s">
        <v>131</v>
      </c>
      <c r="BG6" s="14" t="s">
        <v>136</v>
      </c>
    </row>
    <row r="7" spans="2:60" ht="15.75" thickBot="1">
      <c r="B7" s="32" t="s">
        <v>341</v>
      </c>
      <c r="C7" s="75">
        <v>0.8</v>
      </c>
      <c r="D7" s="75">
        <v>0.2</v>
      </c>
      <c r="E7" s="75">
        <v>0.2</v>
      </c>
      <c r="F7" s="217">
        <v>0.2</v>
      </c>
      <c r="H7" s="32" t="s">
        <v>341</v>
      </c>
      <c r="I7" s="228">
        <v>12.5</v>
      </c>
      <c r="J7" s="228">
        <v>9.25</v>
      </c>
      <c r="K7" s="229">
        <v>10.5</v>
      </c>
      <c r="L7" s="230"/>
      <c r="M7" s="231" t="s">
        <v>241</v>
      </c>
      <c r="O7" s="11"/>
      <c r="P7" s="153">
        <f>P18</f>
        <v>2.0913467912928296</v>
      </c>
      <c r="Q7" s="142" t="s">
        <v>2</v>
      </c>
      <c r="R7" s="107">
        <f>R18</f>
        <v>0.71968398063764982</v>
      </c>
      <c r="S7" s="9"/>
      <c r="T7" s="195">
        <v>0.25900000000000001</v>
      </c>
      <c r="U7" s="199" t="s">
        <v>22</v>
      </c>
      <c r="V7" s="174">
        <f>IF($D$4="Percent",D7,D11)</f>
        <v>0.2</v>
      </c>
      <c r="W7" s="165">
        <f>(1-W13)*(T7*(1-AA20)+AA21/2*T8)</f>
        <v>0.25744600000000001</v>
      </c>
      <c r="X7" s="162">
        <f t="shared" ref="X7:X12" si="0">X$3*W7</f>
        <v>2.0595680000000001</v>
      </c>
      <c r="Y7" s="162">
        <f>X7*V7</f>
        <v>0.41191360000000005</v>
      </c>
      <c r="Z7" s="162">
        <f>Z$4*T7</f>
        <v>2.4451967463492444E-2</v>
      </c>
      <c r="AA7" s="164">
        <f>Z7*V7</f>
        <v>4.8903934926984895E-3</v>
      </c>
      <c r="AB7" s="117">
        <f>IF($D$4="Percent",D8,D12)</f>
        <v>0.01</v>
      </c>
      <c r="AC7" s="108">
        <f>(1-AC13)*(T7*(1-AB20)+AB21/2*T8)</f>
        <v>0.25744600000000001</v>
      </c>
      <c r="AD7" s="105">
        <f t="shared" ref="AD7:AD12" si="1">AD$3*AC7</f>
        <v>0.48160260685892431</v>
      </c>
      <c r="AE7" s="105">
        <f>AD7*AB7</f>
        <v>4.816026068589243E-3</v>
      </c>
      <c r="AF7" s="105">
        <f>$AF$4*T7</f>
        <v>6.0937137687840266E-2</v>
      </c>
      <c r="AG7" s="107">
        <f>AF7*AB7</f>
        <v>6.0937137687840266E-4</v>
      </c>
      <c r="AI7" s="137" t="s">
        <v>457</v>
      </c>
      <c r="AJ7" s="137" t="s">
        <v>194</v>
      </c>
      <c r="AK7" s="10">
        <v>0.05</v>
      </c>
      <c r="AL7" s="173">
        <f>COUNTIF($I$11:$M$13,"H")</f>
        <v>1</v>
      </c>
      <c r="AM7" s="115">
        <f>COUNTIF($I$17:$M$20,"H")+COUNTIF($I$17:$M$20,"H+SP")</f>
        <v>0</v>
      </c>
      <c r="AN7" s="78">
        <f>AN15</f>
        <v>0.6135117904356906</v>
      </c>
      <c r="AO7" s="162">
        <f>+AK7*VLOOKUP(AL7,lkup_simul!$DP:$DT,5,FALSE)*AN7*AO$3</f>
        <v>6.2884958519658252E-2</v>
      </c>
      <c r="AP7" s="105"/>
      <c r="AQ7" s="163">
        <f>VLOOKUP((J7-I8)*4,lkup_simul!$DH:$DI,2,TRUE)*VLOOKUP(AL7-AM7,lkup_simul!$DA:$DB,2,TRUE)</f>
        <v>0.60287349999999995</v>
      </c>
      <c r="AR7" s="106"/>
      <c r="AS7" s="162">
        <f t="shared" ref="AS7:AT17" si="2">+IFERROR(AO7*AQ7,0)</f>
        <v>3.7911675040101185E-2</v>
      </c>
      <c r="AT7" s="107"/>
      <c r="AU7" s="58"/>
      <c r="AW7" s="11"/>
      <c r="AX7" t="s">
        <v>29</v>
      </c>
      <c r="BA7" t="s">
        <v>423</v>
      </c>
      <c r="BB7" s="2">
        <f>+IF(AA32&gt;0,8,IF(AA31&gt;0,2,9))</f>
        <v>9</v>
      </c>
      <c r="BC7" s="2">
        <f>+IF(AB32&gt;0,8,IF(AB31&gt;0,2,9))</f>
        <v>9</v>
      </c>
      <c r="BE7" s="14" t="s">
        <v>137</v>
      </c>
      <c r="BF7" s="14" t="s">
        <v>134</v>
      </c>
      <c r="BG7" s="14" t="s">
        <v>138</v>
      </c>
    </row>
    <row r="8" spans="2:60" ht="15.75" thickBot="1">
      <c r="B8" s="80" t="s">
        <v>342</v>
      </c>
      <c r="C8" s="218">
        <f>1-C7</f>
        <v>0.19999999999999996</v>
      </c>
      <c r="D8" s="219">
        <v>0.01</v>
      </c>
      <c r="E8" s="219">
        <v>0.01</v>
      </c>
      <c r="F8" s="220">
        <v>0.01</v>
      </c>
      <c r="H8" s="80" t="s">
        <v>342</v>
      </c>
      <c r="I8" s="232">
        <v>12</v>
      </c>
      <c r="J8" s="232">
        <v>8.5</v>
      </c>
      <c r="K8" s="233">
        <v>10</v>
      </c>
      <c r="L8" s="234">
        <v>26</v>
      </c>
      <c r="M8" s="235" t="s">
        <v>238</v>
      </c>
      <c r="O8" s="11"/>
      <c r="P8" s="153">
        <f>+P2*3+Q2*1</f>
        <v>2.2683192628416551</v>
      </c>
      <c r="Q8" s="142" t="s">
        <v>3</v>
      </c>
      <c r="R8" s="107">
        <f>+R2*3+Q2</f>
        <v>0.54068910878924847</v>
      </c>
      <c r="T8" s="195">
        <v>0.35699999999999998</v>
      </c>
      <c r="U8" s="199" t="s">
        <v>24</v>
      </c>
      <c r="V8" s="174">
        <f>IF($D$4="Percent",E7,E11)</f>
        <v>0.2</v>
      </c>
      <c r="W8" s="165">
        <f>(1-W13)*(T8*(1-AA21)+AA20*T7*2)</f>
        <v>0.35485800000000001</v>
      </c>
      <c r="X8" s="162">
        <f t="shared" si="0"/>
        <v>2.8388640000000001</v>
      </c>
      <c r="Y8" s="162">
        <f t="shared" ref="Y8:Y13" si="3">X8*V8</f>
        <v>0.56777280000000008</v>
      </c>
      <c r="Z8" s="162">
        <f>Z$4*T8</f>
        <v>3.3704063260489581E-2</v>
      </c>
      <c r="AA8" s="164">
        <f t="shared" ref="AA8:AA12" si="4">Z8*V8</f>
        <v>6.7408126520979161E-3</v>
      </c>
      <c r="AB8" s="117">
        <f>IF($D$4="Percent",E8,E12)</f>
        <v>0.01</v>
      </c>
      <c r="AC8" s="108">
        <f>(1-AC13)*(T8*(1-AB21)+AB20*T7*2)</f>
        <v>0.35485800000000001</v>
      </c>
      <c r="AD8" s="105">
        <f t="shared" si="1"/>
        <v>0.66383062026500372</v>
      </c>
      <c r="AE8" s="105">
        <f t="shared" ref="AE8:AE13" si="5">AD8*AB8</f>
        <v>6.6383062026500374E-3</v>
      </c>
      <c r="AF8" s="105">
        <f>$AF$4*T8</f>
        <v>8.3994433029185231E-2</v>
      </c>
      <c r="AG8" s="107">
        <f t="shared" ref="AG8:AG12" si="6">AF8*AB8</f>
        <v>8.3994433029185237E-4</v>
      </c>
      <c r="AI8" s="137" t="s">
        <v>456</v>
      </c>
      <c r="AJ8" s="137" t="s">
        <v>195</v>
      </c>
      <c r="AK8" s="10">
        <v>0.05</v>
      </c>
      <c r="AL8" s="173">
        <f>COUNTIF($I$11:$M$14,"H")+COUNTIF($I$11:$M$14,"H+SP")</f>
        <v>1</v>
      </c>
      <c r="AM8" s="115">
        <f>COUNTIF($I$17:$M$19,"H")</f>
        <v>0</v>
      </c>
      <c r="AN8" s="78"/>
      <c r="AO8" s="162"/>
      <c r="AP8" s="105">
        <f>+AK8*VLOOKUP(AM8,lkup_simul!$DP:$DT,5,FALSE)*(1-AN7)*AO$3</f>
        <v>0</v>
      </c>
      <c r="AQ8" s="163"/>
      <c r="AR8" s="106">
        <f>VLOOKUP((J8-I7)*4,lkup_simul!$DH:$DI,2,TRUE)*VLOOKUP(AM8-AL8,lkup_simul!$DA:$DB,2,TRUE)</f>
        <v>0.22743750000000001</v>
      </c>
      <c r="AS8" s="162"/>
      <c r="AT8" s="107">
        <f>+IFERROR(AP8*AR8,0)</f>
        <v>0</v>
      </c>
      <c r="AU8" s="58"/>
      <c r="AW8" s="11">
        <f t="shared" ref="AW8:AW14" si="7">+IF($AO$2=4,IF(AL8=AM8,(AL8+1)/(AL8+1+AM8),IF(AL8&gt;AM8,$AO$2,$AP$2)),IF($AO$2=2.5,IF(AL8=AM8,(AL8)/(AL8+1+AM8),IF(AL8&gt;AM8,$AO$2,$AP$2)),IF($AO$2=3.5,IF(AL8=AM8,0.5,3.5))))</f>
        <v>2.5</v>
      </c>
      <c r="AX8" t="s">
        <v>29</v>
      </c>
      <c r="BA8" t="s">
        <v>424</v>
      </c>
      <c r="BB8" s="2">
        <f>IF(AND(BB7=2,E15/E19&lt;0.5),3,BB7)</f>
        <v>9</v>
      </c>
      <c r="BC8" s="2">
        <f>IF(AND(BC7=2,E19/E15&lt;0.5),3,BC7)</f>
        <v>9</v>
      </c>
      <c r="BE8" s="14" t="s">
        <v>139</v>
      </c>
      <c r="BF8" s="14" t="s">
        <v>140</v>
      </c>
      <c r="BG8" s="14" t="s">
        <v>141</v>
      </c>
    </row>
    <row r="9" spans="2:60" ht="15.75" thickBot="1">
      <c r="O9" s="58"/>
      <c r="P9" s="154">
        <f>BB13</f>
        <v>293.30402873397122</v>
      </c>
      <c r="Q9" s="143" t="s">
        <v>420</v>
      </c>
      <c r="R9" s="147">
        <f>BC13</f>
        <v>345.05153703079947</v>
      </c>
      <c r="T9" s="195">
        <v>0.25900000000000001</v>
      </c>
      <c r="U9" s="199" t="s">
        <v>25</v>
      </c>
      <c r="V9" s="174">
        <f>IF($D$4="Percent",F7,F11)</f>
        <v>0.2</v>
      </c>
      <c r="W9" s="165">
        <f>W7</f>
        <v>0.25744600000000001</v>
      </c>
      <c r="X9" s="162">
        <f t="shared" si="0"/>
        <v>2.0595680000000001</v>
      </c>
      <c r="Y9" s="162">
        <f t="shared" si="3"/>
        <v>0.41191360000000005</v>
      </c>
      <c r="Z9" s="162">
        <f>Z$4*T9</f>
        <v>2.4451967463492444E-2</v>
      </c>
      <c r="AA9" s="164">
        <f t="shared" si="4"/>
        <v>4.8903934926984895E-3</v>
      </c>
      <c r="AB9" s="117">
        <f>IF($D$4="Percent",F8,F12)</f>
        <v>0.01</v>
      </c>
      <c r="AC9" s="108">
        <f>AC7</f>
        <v>0.25744600000000001</v>
      </c>
      <c r="AD9" s="105">
        <f t="shared" si="1"/>
        <v>0.48160260685892431</v>
      </c>
      <c r="AE9" s="105">
        <f t="shared" si="5"/>
        <v>4.816026068589243E-3</v>
      </c>
      <c r="AF9" s="105">
        <f>$AF$4*T9</f>
        <v>6.0937137687840266E-2</v>
      </c>
      <c r="AG9" s="107">
        <f t="shared" si="6"/>
        <v>6.0937137687840266E-4</v>
      </c>
      <c r="AI9" s="137" t="s">
        <v>323</v>
      </c>
      <c r="AJ9" s="137" t="s">
        <v>30</v>
      </c>
      <c r="AK9" s="10">
        <v>5.0900000000000001E-2</v>
      </c>
      <c r="AL9" s="173">
        <f>COUNTIF($I$11:$M$12,"H")+COUNTIF($I$11:$M$12,"H+SP")</f>
        <v>1</v>
      </c>
      <c r="AM9" s="115">
        <f>COUNTIF($I$17:$M$18,"H")+COUNTIF($I$17:$M$18,"H+SP")</f>
        <v>0</v>
      </c>
      <c r="AN9" s="78">
        <f>+IFERROR(IF(AL9=AM9,AW9,(AL9^$AW9)/(AL9^$AW9+AM9^$AW9)),0)</f>
        <v>1</v>
      </c>
      <c r="AO9" s="162">
        <f>+AK9*VLOOKUP(MAX(AL9,AM9),lkup_simul!$DP:$DT,4,FALSE)*AN9*AO$3*IF(AL9*AU9=1,0.5,1)</f>
        <v>5.2172499999999976E-2</v>
      </c>
      <c r="AP9" s="105">
        <f>+AK9*VLOOKUP(MAX(AL9,AM9),lkup_simul!$DP:$DT,4,FALSE)*(1-AN9)*AO$3*IF(AM9*AV9=1,0.5,1)</f>
        <v>0</v>
      </c>
      <c r="AQ9" s="163">
        <f>HLOOKUP($K$8,conv_Kstars!$CB$6:$CY$27,$AY9,FALSE)</f>
        <v>0.48</v>
      </c>
      <c r="AR9" s="106">
        <f>HLOOKUP($K$7,conv_Kstars!$CB$6:$CY$27,$AY9,FALSE)</f>
        <v>0.47</v>
      </c>
      <c r="AS9" s="162">
        <f t="shared" si="2"/>
        <v>2.5042799999999987E-2</v>
      </c>
      <c r="AT9" s="107">
        <f t="shared" si="2"/>
        <v>0</v>
      </c>
      <c r="AU9" s="83">
        <f>COUNTIF(I12,"H")+COUNTIF(M12,"H")</f>
        <v>1</v>
      </c>
      <c r="AV9" s="2">
        <f>COUNTIF(I18,"H")+COUNTIF(M18,"H")</f>
        <v>0</v>
      </c>
      <c r="AW9" s="11">
        <f t="shared" si="7"/>
        <v>2.5</v>
      </c>
      <c r="AX9" t="s">
        <v>29</v>
      </c>
      <c r="AY9">
        <v>17</v>
      </c>
      <c r="BA9" t="s">
        <v>290</v>
      </c>
      <c r="BB9" s="11">
        <f>+VLOOKUP(BB$7*1000+FLOOR(BB5*4-3,1),hts_calculator!$D:$E,2,FALSE)</f>
        <v>1.2780399273447602</v>
      </c>
      <c r="BC9" s="11">
        <f>+VLOOKUP(BC$7*1000+FLOOR(BC5*4-3,1),hts_calculator!$D:$E,2,FALSE)</f>
        <v>1.2503802654918161</v>
      </c>
    </row>
    <row r="10" spans="2:60">
      <c r="B10" s="215" t="s">
        <v>287</v>
      </c>
      <c r="C10" s="3" t="s">
        <v>295</v>
      </c>
      <c r="D10" s="3" t="s">
        <v>22</v>
      </c>
      <c r="E10" s="3" t="s">
        <v>24</v>
      </c>
      <c r="F10" s="210" t="s">
        <v>25</v>
      </c>
      <c r="H10" s="236"/>
      <c r="I10" s="29"/>
      <c r="J10" s="29"/>
      <c r="K10" s="221" t="s">
        <v>0</v>
      </c>
      <c r="L10" s="29"/>
      <c r="M10" s="30"/>
      <c r="O10" s="83"/>
      <c r="P10" s="155" t="str">
        <f>B15</f>
        <v>Team A</v>
      </c>
      <c r="Q10" s="141"/>
      <c r="R10" s="148" t="str">
        <f>B19</f>
        <v>Team B</v>
      </c>
      <c r="T10" s="195">
        <v>8.4000000000000005E-2</v>
      </c>
      <c r="U10" s="199" t="s">
        <v>84</v>
      </c>
      <c r="V10" s="174">
        <f>VLOOKUP(J$7,dfk_pk!$A$8:$AS$19,HLOOKUP(I$8,dfk_pk!$D$4:$O$5,2,TRUE)+15,TRUE)</f>
        <v>0.12</v>
      </c>
      <c r="W10" s="165">
        <f>(1-W13)*T10*(1-AA22)</f>
        <v>6.0117119999999996E-2</v>
      </c>
      <c r="X10" s="162">
        <f t="shared" si="0"/>
        <v>0.48093695999999997</v>
      </c>
      <c r="Y10" s="162">
        <f t="shared" si="3"/>
        <v>5.7712435199999995E-2</v>
      </c>
      <c r="Z10" s="162">
        <f>Z$4*T10*(1-AA22)</f>
        <v>5.7098648347182349E-3</v>
      </c>
      <c r="AA10" s="164">
        <f t="shared" si="4"/>
        <v>6.8518378016618818E-4</v>
      </c>
      <c r="AB10" s="117">
        <f>VLOOKUP(J$8,dfk_pk!$A$8:$AS$19,HLOOKUP(I$7,dfk_pk!$D$4:$O$5,2,TRUE)+15,TRUE)</f>
        <v>0.08</v>
      </c>
      <c r="AC10" s="108">
        <f>(1-AC13)*T10*(1-AB22)</f>
        <v>6.0952079999999999E-2</v>
      </c>
      <c r="AD10" s="105">
        <f t="shared" si="1"/>
        <v>0.11402267124551829</v>
      </c>
      <c r="AE10" s="105">
        <f t="shared" si="5"/>
        <v>9.121813699641464E-3</v>
      </c>
      <c r="AF10" s="105">
        <f>$AF$4*T10*(1-AB22)</f>
        <v>1.4427279085012993E-2</v>
      </c>
      <c r="AG10" s="107">
        <f t="shared" si="6"/>
        <v>1.1541823268010395E-3</v>
      </c>
      <c r="AI10" s="137" t="s">
        <v>324</v>
      </c>
      <c r="AJ10" s="137" t="s">
        <v>32</v>
      </c>
      <c r="AK10" s="10">
        <v>7.0300000000000001E-2</v>
      </c>
      <c r="AL10" s="173">
        <f>COUNTIF($I$13:$M$14,"U")</f>
        <v>0</v>
      </c>
      <c r="AM10" s="115">
        <f>COUNTIF($I$19:$M$20,"U")</f>
        <v>2</v>
      </c>
      <c r="AN10" s="78">
        <f>+IFERROR(IF(AL10=AM10,AW10,(AL10^$AW10)/(AL10^$AW10+AM10^$AW10)),0)</f>
        <v>0</v>
      </c>
      <c r="AO10" s="162">
        <f>+AK10*VLOOKUP(MAX(AL10,AM10),lkup_simul!$DP:$DT,4,FALSE)*AN10*AO$3</f>
        <v>0</v>
      </c>
      <c r="AP10" s="105">
        <f>+AK10*VLOOKUP(MAX(AL10,AM10),lkup_simul!$DP:$DT,4,FALSE)*(1-AN10)*AO$3</f>
        <v>0.27871840999999986</v>
      </c>
      <c r="AQ10" s="163">
        <f>HLOOKUP($K$8,conv_Kstars!$CB$6:$CY$27,$AY10,FALSE)</f>
        <v>0.30648769574944074</v>
      </c>
      <c r="AR10" s="106">
        <f>HLOOKUP($K$7,conv_Kstars!$CB$6:$CY$27,$AY10,FALSE)</f>
        <v>0.30331753554502372</v>
      </c>
      <c r="AS10" s="162">
        <f t="shared" si="2"/>
        <v>0</v>
      </c>
      <c r="AT10" s="107">
        <f t="shared" si="2"/>
        <v>8.4540181232227452E-2</v>
      </c>
      <c r="AU10" s="58"/>
      <c r="AW10" s="11">
        <f t="shared" si="7"/>
        <v>4</v>
      </c>
      <c r="AX10" t="s">
        <v>31</v>
      </c>
      <c r="AY10">
        <v>11</v>
      </c>
      <c r="BA10" t="s">
        <v>16</v>
      </c>
      <c r="BB10" s="11">
        <f>+VLOOKUP(BB$8*1000+FLOOR(E15*4-3,1),hts_calculator!$G:$H,2,FALSE)</f>
        <v>1.7385999999999999</v>
      </c>
      <c r="BC10" s="11">
        <f>+VLOOKUP(BC$8*1000+FLOOR(E19*4-3,1),hts_calculator!$G:$H,2,FALSE)</f>
        <v>2.1293000000000002</v>
      </c>
    </row>
    <row r="11" spans="2:60" ht="15.75" thickBot="1">
      <c r="B11" s="32" t="s">
        <v>341</v>
      </c>
      <c r="C11" s="78">
        <f>+X26^3/(X26^3+AD26^3)</f>
        <v>0.3612066419826</v>
      </c>
      <c r="D11" s="78">
        <f>+W25^3.5/(W25^3.5+AE27^3.5)*0.92</f>
        <v>0.40713839072783009</v>
      </c>
      <c r="E11" s="78">
        <f>+X25^3.5/(X25^3.5+AD27^3.5)*0.92</f>
        <v>0.23707947801468968</v>
      </c>
      <c r="F11" s="211">
        <f>+Y25^3.5/(Y25^3.5+AC27^3.5)*0.92</f>
        <v>0.54533308227252464</v>
      </c>
      <c r="H11" s="4" t="s">
        <v>119</v>
      </c>
      <c r="I11" s="208"/>
      <c r="J11" s="227" t="s">
        <v>18</v>
      </c>
      <c r="K11" s="224"/>
      <c r="L11" s="224" t="s">
        <v>28</v>
      </c>
      <c r="M11" s="5"/>
      <c r="O11" s="83"/>
      <c r="P11" s="157">
        <f>SUM(P12:P17)</f>
        <v>9.3908633258463379</v>
      </c>
      <c r="Q11" s="145" t="s">
        <v>296</v>
      </c>
      <c r="R11" s="150">
        <f>SUM(R12:R17)</f>
        <v>3.9399562197286535</v>
      </c>
      <c r="T11" s="195"/>
      <c r="U11" s="199" t="s">
        <v>19</v>
      </c>
      <c r="V11" s="174">
        <f>VLOOKUP(J$7,dfk_pk!$A$8:$AS$19,HLOOKUP(I$8,dfk_pk!$D$4:$O$5,2,TRUE)+0,TRUE)</f>
        <v>0.4</v>
      </c>
      <c r="W11" s="165">
        <f>(1-W13)*T10*AA22</f>
        <v>2.3378880000000001E-2</v>
      </c>
      <c r="X11" s="162">
        <f t="shared" si="0"/>
        <v>0.18703104000000001</v>
      </c>
      <c r="Y11" s="162">
        <f t="shared" si="3"/>
        <v>7.4812416000000007E-2</v>
      </c>
      <c r="Z11" s="162">
        <f>Z$4*T10*AA22</f>
        <v>2.2205029912793139E-3</v>
      </c>
      <c r="AA11" s="164">
        <f t="shared" si="4"/>
        <v>8.8820119651172565E-4</v>
      </c>
      <c r="AB11" s="117">
        <f>VLOOKUP(J$8,dfk_pk!$A$8:$AS$19,HLOOKUP(I$7,dfk_pk!$D$4:$O$5,2,TRUE)+0,TRUE)</f>
        <v>0.36</v>
      </c>
      <c r="AC11" s="108">
        <f>(1-AC13)*T10*AB22</f>
        <v>2.2543920000000002E-2</v>
      </c>
      <c r="AD11" s="105">
        <f t="shared" si="1"/>
        <v>4.2172768816835536E-2</v>
      </c>
      <c r="AE11" s="105">
        <f t="shared" si="5"/>
        <v>1.5182196774060793E-2</v>
      </c>
      <c r="AF11" s="105">
        <f>$AF$4*T10*AB22</f>
        <v>5.3361169218541209E-3</v>
      </c>
      <c r="AG11" s="107">
        <f t="shared" si="6"/>
        <v>1.9210020918674835E-3</v>
      </c>
      <c r="AI11" s="137" t="s">
        <v>325</v>
      </c>
      <c r="AJ11" s="137" t="s">
        <v>34</v>
      </c>
      <c r="AK11" s="10">
        <v>3.0099999999999998E-2</v>
      </c>
      <c r="AL11" s="173">
        <f>COUNTIF($I$11:$M$13,"U")</f>
        <v>0</v>
      </c>
      <c r="AM11" s="115">
        <f>COUNTIF($I$17:$M$19,"U")</f>
        <v>5</v>
      </c>
      <c r="AN11" s="78">
        <f>+IFERROR(IF(AL11=AM11,AW11,(AL11^$AW11)/(AL11^$AW11+AM11^$AW11)),0)</f>
        <v>0</v>
      </c>
      <c r="AO11" s="162">
        <f>+AK11*VLOOKUP(MAX(AL11,AM11),lkup_simul!$DP:$DT,4,FALSE)*AN11*AO$3</f>
        <v>0</v>
      </c>
      <c r="AP11" s="105">
        <f>+AK11*VLOOKUP(MAX(AL11,AM11),lkup_simul!$DP:$DT,4,FALSE)*(1-AN11)*AO$3</f>
        <v>0.27952364999999985</v>
      </c>
      <c r="AQ11" s="163">
        <f>HLOOKUP($K$8,conv_Kstars!$CB$6:$CY$27,$AY11,FALSE)</f>
        <v>0.36560292326431176</v>
      </c>
      <c r="AR11" s="106">
        <f>HLOOKUP($K$7,conv_Kstars!$CB$6:$CY$27,$AY11,FALSE)</f>
        <v>0.35714285714285715</v>
      </c>
      <c r="AS11" s="162">
        <f t="shared" si="2"/>
        <v>0</v>
      </c>
      <c r="AT11" s="107">
        <f t="shared" si="2"/>
        <v>9.9829874999999943E-2</v>
      </c>
      <c r="AU11" s="58"/>
      <c r="AW11" s="11">
        <f t="shared" si="7"/>
        <v>4</v>
      </c>
      <c r="AX11" t="s">
        <v>31</v>
      </c>
      <c r="AY11">
        <v>15</v>
      </c>
      <c r="BA11" t="s">
        <v>291</v>
      </c>
      <c r="BB11" s="11">
        <f>+VLOOKUP(BB$7*1000+FLOOR(BB6*4-3,1),hts_calculator!$A:$B,2,FALSE)</f>
        <v>1.32</v>
      </c>
      <c r="BC11" s="11">
        <f>+VLOOKUP(BC$7*1000+FLOOR(BC6*4-3,1),hts_calculator!$A:$B,2,FALSE)</f>
        <v>1.296</v>
      </c>
    </row>
    <row r="12" spans="2:60">
      <c r="B12" s="32" t="s">
        <v>342</v>
      </c>
      <c r="C12" s="78">
        <f>1-C11</f>
        <v>0.6387933580174</v>
      </c>
      <c r="D12" s="78">
        <f>+AC25^3.5/(AC25^3.5+Y27^3.5)*0.92</f>
        <v>0.27278199296167194</v>
      </c>
      <c r="E12" s="78">
        <f>+AD25^3.5/(AD25^3.5+X27^3.5)*0.92</f>
        <v>0.34078442396665215</v>
      </c>
      <c r="F12" s="211">
        <f>+AE25^3.5/(AE25^3.5+W27^3.5)*0.92</f>
        <v>0.28897556937524338</v>
      </c>
      <c r="H12" s="4" t="s">
        <v>120</v>
      </c>
      <c r="I12" s="224" t="s">
        <v>29</v>
      </c>
      <c r="J12" s="239" t="s">
        <v>12</v>
      </c>
      <c r="K12" s="224" t="s">
        <v>41</v>
      </c>
      <c r="L12" s="224" t="s">
        <v>28</v>
      </c>
      <c r="M12" s="225" t="s">
        <v>28</v>
      </c>
      <c r="O12" s="83"/>
      <c r="P12" s="153">
        <f>SUM(X7:X9)</f>
        <v>6.9580000000000002</v>
      </c>
      <c r="Q12" s="142" t="s">
        <v>23</v>
      </c>
      <c r="R12" s="107">
        <f>SUM(AD7:AD9)</f>
        <v>1.6270358339828523</v>
      </c>
      <c r="T12" s="195">
        <v>4.1000000000000002E-2</v>
      </c>
      <c r="U12" s="199" t="s">
        <v>21</v>
      </c>
      <c r="V12" s="174">
        <f>+VLOOKUP(J7*4-I8*4,lkup_simul!$A:$B,2,TRUE)</f>
        <v>0.11607791602294137</v>
      </c>
      <c r="W12" s="165">
        <f>(1-W13)*T12</f>
        <v>4.0753999999999999E-2</v>
      </c>
      <c r="X12" s="162">
        <f t="shared" si="0"/>
        <v>0.32603199999999999</v>
      </c>
      <c r="Y12" s="162">
        <f t="shared" si="3"/>
        <v>3.7845115116791624E-2</v>
      </c>
      <c r="Z12" s="162">
        <f>Z$4*T12</f>
        <v>3.8707747722130895E-3</v>
      </c>
      <c r="AA12" s="164">
        <f t="shared" si="4"/>
        <v>4.49311468952671E-4</v>
      </c>
      <c r="AB12" s="117">
        <f>+VLOOKUP(J8*4-I7*4,lkup_simul!$A:$B,2,TRUE)</f>
        <v>4.6530571922185814E-2</v>
      </c>
      <c r="AC12" s="108">
        <f>(1-AC13)*T12</f>
        <v>4.0753999999999999E-2</v>
      </c>
      <c r="AD12" s="105">
        <f t="shared" si="1"/>
        <v>7.6238250506625083E-2</v>
      </c>
      <c r="AE12" s="105">
        <f t="shared" si="5"/>
        <v>3.5474093984201377E-3</v>
      </c>
      <c r="AF12" s="105">
        <f>$AF$4*T12</f>
        <v>9.6464194795422824E-3</v>
      </c>
      <c r="AG12" s="107">
        <f t="shared" si="6"/>
        <v>4.488534153844164E-4</v>
      </c>
      <c r="AI12" s="137" t="s">
        <v>323</v>
      </c>
      <c r="AJ12" s="137" t="s">
        <v>36</v>
      </c>
      <c r="AK12" s="10">
        <v>4.1000000000000002E-2</v>
      </c>
      <c r="AL12" s="173">
        <f>COUNTIF($I$11:$M$12,"U")</f>
        <v>0</v>
      </c>
      <c r="AM12" s="115">
        <f>COUNTIF($I$17:$M$18,"U")</f>
        <v>3</v>
      </c>
      <c r="AN12" s="78">
        <f>+IFERROR(IF(AL12=AM12,AW12,(AL12^$AW12)/(AL12^$AW12+AM12^$AW12)),0)</f>
        <v>0</v>
      </c>
      <c r="AO12" s="162">
        <f>+AK12*VLOOKUP(MAX(AL12,AM12),lkup_simul!$DP:$DT,4,FALSE)*AN12*AO$3</f>
        <v>0</v>
      </c>
      <c r="AP12" s="105">
        <f>+AK12*VLOOKUP(MAX(AL12,AM12),lkup_simul!$DP:$DT,4,FALSE)*(1-AN12)*AO$3</f>
        <v>0.23752529999999983</v>
      </c>
      <c r="AQ12" s="163">
        <f>HLOOKUP($K$8,conv_Kstars!$CB$6:$CY$27,$AY12,FALSE)</f>
        <v>0.48</v>
      </c>
      <c r="AR12" s="106">
        <f>HLOOKUP($K$7,conv_Kstars!$CB$6:$CY$27,$AY12,FALSE)</f>
        <v>0.45945945945945948</v>
      </c>
      <c r="AS12" s="162">
        <f t="shared" si="2"/>
        <v>0</v>
      </c>
      <c r="AT12" s="107">
        <f t="shared" si="2"/>
        <v>0.10913324594594587</v>
      </c>
      <c r="AU12" s="58"/>
      <c r="AW12" s="11">
        <f t="shared" si="7"/>
        <v>4</v>
      </c>
      <c r="AX12" t="s">
        <v>31</v>
      </c>
      <c r="AY12">
        <v>14</v>
      </c>
      <c r="BA12" t="s">
        <v>15</v>
      </c>
      <c r="BB12" s="11">
        <f>+IF(AA32=0,1,VLOOKUP(8000+AA32,hts_calculator!$J:$K,2,FALSE))</f>
        <v>1</v>
      </c>
      <c r="BC12" s="11">
        <f>+IF(AB32=0,1,VLOOKUP(8000+AB32,hts_calculator!$J:$K,2,FALSE))</f>
        <v>1</v>
      </c>
      <c r="BE12" s="264">
        <f>+IF($AA$36&gt;0,hts_calculator!N3,IF($AA$35&gt;0,hts_calculator!N4,hts_calculator!N2))</f>
        <v>0.3</v>
      </c>
      <c r="BF12" s="265">
        <f>+IF($AA$36&gt;0,hts_calculator!N3,IF($AA$35&gt;0,hts_calculator!O4,hts_calculator!O2))</f>
        <v>0.4</v>
      </c>
      <c r="BG12" s="265">
        <f>+IF($AB$36&gt;0,hts_calculator!N3,IF($AB$35&gt;0,hts_calculator!N4,hts_calculator!N2))</f>
        <v>0.3</v>
      </c>
      <c r="BH12" s="266">
        <f>+IF($AB$36&gt;0,hts_calculator!N3,IF($AB$35&gt;0,hts_calculator!O4,hts_calculator!O2))</f>
        <v>0.4</v>
      </c>
    </row>
    <row r="13" spans="2:60" ht="15.75" thickBot="1">
      <c r="B13" s="32"/>
      <c r="F13" s="31"/>
      <c r="H13" s="4" t="s">
        <v>121</v>
      </c>
      <c r="I13" s="237" t="s">
        <v>41</v>
      </c>
      <c r="J13" s="224"/>
      <c r="K13" s="224" t="s">
        <v>123</v>
      </c>
      <c r="L13" s="224"/>
      <c r="M13" s="238" t="s">
        <v>123</v>
      </c>
      <c r="O13" s="83"/>
      <c r="P13" s="153">
        <f>SUM(X10:X12)</f>
        <v>0.99399999999999999</v>
      </c>
      <c r="Q13" s="144" t="s">
        <v>193</v>
      </c>
      <c r="R13" s="107">
        <f>SUM(AD10:AD12)</f>
        <v>0.23243369056897892</v>
      </c>
      <c r="T13" s="196"/>
      <c r="U13" s="199" t="s">
        <v>15</v>
      </c>
      <c r="V13" s="174">
        <f>VLOOKUP(VALUE(AA32),lkup_simul!$N:$S,5,TRUE)</f>
        <v>0.11</v>
      </c>
      <c r="W13" s="165">
        <f>IF(M7&lt;&gt;"Long Shots",0.6%,VLOOKUP(L7,lkup_simul!$BY:$CF,7,FALSE)+VLOOKUP(L7,lkup_simul!$BY:$CF,8,FALSE))</f>
        <v>6.0000000000000001E-3</v>
      </c>
      <c r="X13" s="162">
        <f>X$3*W13*(1-X4)</f>
        <v>4.8000000000000001E-2</v>
      </c>
      <c r="Y13" s="162">
        <f t="shared" si="3"/>
        <v>5.28E-3</v>
      </c>
      <c r="Z13" s="162"/>
      <c r="AA13" s="164"/>
      <c r="AB13" s="117">
        <f>VLOOKUP(VALUE(AB32),lkup_simul!$N:$S,5,TRUE)</f>
        <v>0.11</v>
      </c>
      <c r="AC13" s="108">
        <f>IF(VALUE(AB32)=0,0.6%,VLOOKUP(AB32,lkup_simul!$BY:$CF,7,FALSE)+VLOOKUP(AB32,lkup_simul!$BY:$CF,8,FALSE))</f>
        <v>6.0000000000000001E-3</v>
      </c>
      <c r="AD13" s="105">
        <f>AD$3*AC13*(1-AD4)</f>
        <v>1.1224162120031175E-2</v>
      </c>
      <c r="AE13" s="105">
        <f t="shared" si="5"/>
        <v>1.2346578332034293E-3</v>
      </c>
      <c r="AF13" s="105"/>
      <c r="AG13" s="107"/>
      <c r="AI13" s="137" t="s">
        <v>326</v>
      </c>
      <c r="AJ13" s="137" t="s">
        <v>37</v>
      </c>
      <c r="AK13" s="10">
        <v>2.35E-2</v>
      </c>
      <c r="AL13" s="173">
        <f>COUNTIF($I$13:$M$13,"U")+COUNTIF($J$12:$L$12,"U")</f>
        <v>0</v>
      </c>
      <c r="AM13" s="115">
        <f>COUNTIF($I$19:$M$19,"U")+COUNTIF($J$18:$L$18,"U")</f>
        <v>5</v>
      </c>
      <c r="AN13" s="78">
        <f>1-IFERROR(IF(AL13=AM13,AW13,(AL13^$AW13)/(AL13^$AW13+AM13^$AW13)),0)</f>
        <v>1</v>
      </c>
      <c r="AO13" s="162">
        <f>+AK13*VLOOKUP(MAX(AL13,AM13),lkup_simul!$DP:$DT,4,FALSE)*AN13*AO$3</f>
        <v>0.21823274999999989</v>
      </c>
      <c r="AP13" s="105">
        <f>+AK13*VLOOKUP(MAX(AL13,AM13),lkup_simul!$DP:$DT,4,FALSE)*(1-AN13)*AO$3</f>
        <v>0</v>
      </c>
      <c r="AQ13" s="163">
        <f>HLOOKUP($K$8,conv_Kstars!$CB$6:$CY$27,$AY13,FALSE)</f>
        <v>0.17251283673764145</v>
      </c>
      <c r="AR13" s="106">
        <f>HLOOKUP($K$7,conv_Kstars!$CB$6:$CY$27,$AY13,FALSE)</f>
        <v>0.16739617613948279</v>
      </c>
      <c r="AS13" s="162">
        <f t="shared" si="2"/>
        <v>3.7647950771556506E-2</v>
      </c>
      <c r="AT13" s="107">
        <f t="shared" si="2"/>
        <v>0</v>
      </c>
      <c r="AU13" s="58"/>
      <c r="AW13" s="11">
        <f t="shared" si="7"/>
        <v>4</v>
      </c>
      <c r="AX13" t="s">
        <v>31</v>
      </c>
      <c r="AY13">
        <v>12</v>
      </c>
      <c r="BA13" t="s">
        <v>420</v>
      </c>
      <c r="BB13" s="252">
        <f>100*BB9*BB10*BB11*BB12</f>
        <v>293.30402873397122</v>
      </c>
      <c r="BC13" s="252">
        <f>100*BC9*BC10*BC11*BC12</f>
        <v>345.05153703079947</v>
      </c>
      <c r="BE13" s="267">
        <v>0.3</v>
      </c>
      <c r="BF13" s="268">
        <v>0.4</v>
      </c>
      <c r="BG13" s="268">
        <v>0.3</v>
      </c>
      <c r="BH13" s="269">
        <v>0.4</v>
      </c>
    </row>
    <row r="14" spans="2:60" ht="15.75" thickBot="1">
      <c r="B14" s="4"/>
      <c r="C14" s="2" t="s">
        <v>290</v>
      </c>
      <c r="D14" s="77">
        <v>11.75</v>
      </c>
      <c r="E14" s="77">
        <v>13.5</v>
      </c>
      <c r="F14" s="212">
        <v>15.5</v>
      </c>
      <c r="H14" s="209" t="s">
        <v>122</v>
      </c>
      <c r="I14" s="81"/>
      <c r="J14" s="81"/>
      <c r="K14" s="226" t="s">
        <v>123</v>
      </c>
      <c r="L14" s="33"/>
      <c r="M14" s="82"/>
      <c r="O14" s="2"/>
      <c r="P14" s="153">
        <f>X13</f>
        <v>4.8000000000000001E-2</v>
      </c>
      <c r="Q14" s="144" t="s">
        <v>15</v>
      </c>
      <c r="R14" s="107">
        <f>AD13</f>
        <v>1.1224162120031175E-2</v>
      </c>
      <c r="T14" s="197"/>
      <c r="U14" s="199" t="s">
        <v>18</v>
      </c>
      <c r="V14" s="174">
        <v>0.8</v>
      </c>
      <c r="W14" s="170"/>
      <c r="X14" s="170"/>
      <c r="Y14" s="170"/>
      <c r="Z14" s="162">
        <f>(SUM(X7:X12)-SUM(Y7:Y12))*AA19</f>
        <v>0.19761635378739317</v>
      </c>
      <c r="AA14" s="164">
        <f>Z14*V14</f>
        <v>0.15809308302991454</v>
      </c>
      <c r="AB14" s="117">
        <v>0.8</v>
      </c>
      <c r="AC14" s="113"/>
      <c r="AD14" s="113"/>
      <c r="AE14" s="113"/>
      <c r="AF14" s="105">
        <f>+(SUM(AD7:AD12)-SUM(AE7:AE12))*AB19</f>
        <v>0.11623789191911889</v>
      </c>
      <c r="AG14" s="107">
        <f>AF14*AB14</f>
        <v>9.2990313535295119E-2</v>
      </c>
      <c r="AI14" s="137" t="s">
        <v>327</v>
      </c>
      <c r="AJ14" s="137" t="s">
        <v>38</v>
      </c>
      <c r="AK14" s="10">
        <v>4.2500000000000003E-2</v>
      </c>
      <c r="AL14" s="173">
        <f>COUNTIF($I$12,"U")+COUNTIF($M$12,"U")+COUNTIF($I$11:$M$11,"U")</f>
        <v>0</v>
      </c>
      <c r="AM14" s="115">
        <f>COUNTIF($I$18,"U")+COUNTIF($M$18,"U")+COUNTIF($I$17:$M$17,"U")</f>
        <v>0</v>
      </c>
      <c r="AN14" s="78">
        <f>1-IFERROR(IF(AL14=AM14,AW14,(AL14^$AW14)/(AL14^$AW14+AM14^$AW14)),0)</f>
        <v>1</v>
      </c>
      <c r="AO14" s="162">
        <f>+AK14*VLOOKUP(MAX(AL14,AM14),lkup_simul!$DP:$DT,4,FALSE)*AN14*AO$3</f>
        <v>0</v>
      </c>
      <c r="AP14" s="105">
        <f>+AK14*VLOOKUP(MAX(AL14,AM14),lkup_simul!$DP:$DT,4,FALSE)*(1-AN14)*AO$3</f>
        <v>0</v>
      </c>
      <c r="AQ14" s="163">
        <f>HLOOKUP($K$8,conv_Kstars!$CB$6:$CY$27,$AY14,FALSE)</f>
        <v>0.19251888114663054</v>
      </c>
      <c r="AR14" s="106">
        <f>HLOOKUP($K$7,conv_Kstars!$CB$6:$CY$27,$AY14,FALSE)</f>
        <v>0.18680884940526726</v>
      </c>
      <c r="AS14" s="162">
        <f t="shared" si="2"/>
        <v>0</v>
      </c>
      <c r="AT14" s="107">
        <f t="shared" si="2"/>
        <v>0</v>
      </c>
      <c r="AU14" s="58"/>
      <c r="AW14" s="11">
        <f t="shared" si="7"/>
        <v>0</v>
      </c>
      <c r="AX14" t="s">
        <v>31</v>
      </c>
      <c r="AY14">
        <v>13</v>
      </c>
    </row>
    <row r="15" spans="2:60" ht="15.75" thickBot="1">
      <c r="B15" s="4" t="s">
        <v>0</v>
      </c>
      <c r="C15" s="2" t="s">
        <v>16</v>
      </c>
      <c r="E15" s="77">
        <v>11.5</v>
      </c>
      <c r="F15" s="31"/>
      <c r="O15" s="2"/>
      <c r="P15" s="153">
        <f>SUM(Z7:Z13)</f>
        <v>9.4409140785685103E-2</v>
      </c>
      <c r="Q15" s="142" t="s">
        <v>17</v>
      </c>
      <c r="R15" s="107">
        <f>SUM(AF7:AF13)</f>
        <v>0.23527852389127515</v>
      </c>
      <c r="T15" s="198"/>
      <c r="U15" s="200" t="s">
        <v>20</v>
      </c>
      <c r="V15" s="201">
        <f>Y15/X15</f>
        <v>0.19590624578959898</v>
      </c>
      <c r="W15" s="184">
        <f>SUM(W7:W13)</f>
        <v>1</v>
      </c>
      <c r="X15" s="183">
        <f>SUM(X7:X13)</f>
        <v>8</v>
      </c>
      <c r="Y15" s="183">
        <f>SUM(Y7:Y13)</f>
        <v>1.5672499663167918</v>
      </c>
      <c r="Z15" s="183">
        <f>SUM(Z7:Z14)</f>
        <v>0.29202549457307825</v>
      </c>
      <c r="AA15" s="202">
        <f>SUM(AA7:AA14)</f>
        <v>0.17663737911304001</v>
      </c>
      <c r="AB15" s="203">
        <f>AE15/AD15</f>
        <v>2.4245784528116765E-2</v>
      </c>
      <c r="AC15" s="134">
        <f>SUM(AC7:AC13)</f>
        <v>1</v>
      </c>
      <c r="AD15" s="133">
        <f>SUM(AD7:AD13)</f>
        <v>1.8706936866718624</v>
      </c>
      <c r="AE15" s="133">
        <f>SUM(AE7:AE13)</f>
        <v>4.5356436045154352E-2</v>
      </c>
      <c r="AF15" s="133">
        <f>SUM(AF7:AF14)</f>
        <v>0.35151641581039406</v>
      </c>
      <c r="AG15" s="136">
        <f>SUM(AG7:AG13)</f>
        <v>5.5827249181015963E-3</v>
      </c>
      <c r="AI15" s="137" t="s">
        <v>328</v>
      </c>
      <c r="AJ15" s="137" t="s">
        <v>39</v>
      </c>
      <c r="AK15" s="10">
        <v>0.1</v>
      </c>
      <c r="AL15" s="173"/>
      <c r="AM15" s="115"/>
      <c r="AN15" s="78">
        <f>IF(D4="Ratings",X26/(X26+AD26),VLOOKUP(ROUND(C7,2),lkup_simul!$GP:$GQ,2,FALSE))</f>
        <v>0.6135117904356906</v>
      </c>
      <c r="AO15" s="258">
        <f>+AK15*AN15*AO$3</f>
        <v>0.1257699170393165</v>
      </c>
      <c r="AP15" s="259">
        <f>+AK15*(1-AN15)*AO$3</f>
        <v>7.9230082960683387E-2</v>
      </c>
      <c r="AQ15" s="163">
        <f>VLOOKUP((J7-I8)*4,lkup_simul!$EE:$EF,2,TRUE)*VLOOKUP(K8-AA32/4,lkup_simul!$EB:$EC,2,TRUE)</f>
        <v>0.40940000000000004</v>
      </c>
      <c r="AR15" s="106">
        <f>VLOOKUP((J8-I7)*4,lkup_simul!$EE:$EF,2,TRUE)*VLOOKUP(K7-AB32/4,lkup_simul!$EB:$EC,2,TRUE)</f>
        <v>0.36286250000000003</v>
      </c>
      <c r="AS15" s="162">
        <f t="shared" si="2"/>
        <v>5.149020403589618E-2</v>
      </c>
      <c r="AT15" s="107">
        <f t="shared" si="2"/>
        <v>2.8749625978320977E-2</v>
      </c>
      <c r="AU15" s="58"/>
      <c r="AW15" s="11"/>
      <c r="AX15" t="s">
        <v>33</v>
      </c>
    </row>
    <row r="16" spans="2:60">
      <c r="B16" s="32"/>
      <c r="C16" s="2" t="s">
        <v>291</v>
      </c>
      <c r="D16" s="77">
        <v>13.25</v>
      </c>
      <c r="E16" s="77">
        <v>16.75</v>
      </c>
      <c r="F16" s="212">
        <v>16.75</v>
      </c>
      <c r="H16" s="79"/>
      <c r="I16" s="29"/>
      <c r="J16" s="29"/>
      <c r="K16" s="221" t="s">
        <v>1</v>
      </c>
      <c r="L16" s="29"/>
      <c r="M16" s="30"/>
      <c r="O16" s="83"/>
      <c r="P16" s="153">
        <f>Z14</f>
        <v>0.19761635378739317</v>
      </c>
      <c r="Q16" s="142" t="s">
        <v>18</v>
      </c>
      <c r="R16" s="107">
        <f>AF14</f>
        <v>0.11623789191911889</v>
      </c>
      <c r="T16" s="1"/>
      <c r="U16" s="1"/>
      <c r="V16" s="169"/>
      <c r="W16" s="170"/>
      <c r="X16" s="170"/>
      <c r="Y16" s="170"/>
      <c r="Z16" s="175" t="s">
        <v>276</v>
      </c>
      <c r="AA16" s="164">
        <f>X15-Y15</f>
        <v>6.4327500336832077</v>
      </c>
      <c r="AB16" s="104">
        <f>AD15-AE15</f>
        <v>1.825337250626708</v>
      </c>
      <c r="AC16" s="113"/>
      <c r="AD16" s="113"/>
      <c r="AE16" s="113"/>
      <c r="AF16" s="113"/>
      <c r="AG16" s="114"/>
      <c r="AI16" s="137" t="s">
        <v>42</v>
      </c>
      <c r="AJ16" s="137" t="s">
        <v>40</v>
      </c>
      <c r="AK16" s="10">
        <v>0.08</v>
      </c>
      <c r="AL16" s="173">
        <f>COUNTA($I12,$M12)</f>
        <v>2</v>
      </c>
      <c r="AM16" s="115">
        <f>COUNTA($I18,$M18)</f>
        <v>2</v>
      </c>
      <c r="AN16" s="78">
        <f>+IFERROR(IF(AL16=AM16,AW16,(AL16^$AW16)/(AL16^$AW16+AM16^$AW16)),0)</f>
        <v>0.4</v>
      </c>
      <c r="AO16" s="258">
        <f>+AK16*VLOOKUP(MAX(AL16,AM16),lkup_simul!$DP:$DT,4,FALSE)*AN16*AO$3</f>
        <v>0.12687039999999994</v>
      </c>
      <c r="AP16" s="259">
        <f>+AK16*VLOOKUP(MAX(AL16,AM16),lkup_simul!$DP:$DT,4,FALSE)*(1-AN16)*AO$3</f>
        <v>0.19030559999999991</v>
      </c>
      <c r="AQ16" s="163">
        <f>HLOOKUP($K$8,conv_Kstars!$CB$6:$CY$27,$AY16,FALSE)</f>
        <v>0.33</v>
      </c>
      <c r="AR16" s="106">
        <f>HLOOKUP($K$7,conv_Kstars!$CB$6:$CY$27,$AY16,FALSE)</f>
        <v>0.32</v>
      </c>
      <c r="AS16" s="162">
        <f t="shared" si="2"/>
        <v>4.1867231999999983E-2</v>
      </c>
      <c r="AT16" s="107">
        <f t="shared" si="2"/>
        <v>6.0897791999999971E-2</v>
      </c>
      <c r="AU16" s="58"/>
      <c r="AW16" s="11">
        <f>+IF($AO$2=4,IF(AL16=AM16,(AL16+1)/(AL16+1+AM16),IF(AL16&gt;AM16,$AO$2,$AP$2)),IF($AO$2=2.5,IF(AL16=AM16,(AL16)/(AL16+1+AM16),IF(AL16&gt;AM16,$AO$2,$AP$2)),IF($AO$2=3.5,IF(AL16=AM16,0.5,3.5))))</f>
        <v>0.4</v>
      </c>
      <c r="AX16" t="s">
        <v>33</v>
      </c>
      <c r="AY16">
        <v>16</v>
      </c>
    </row>
    <row r="17" spans="2:51">
      <c r="B17" s="32"/>
      <c r="F17" s="31"/>
      <c r="H17" s="4" t="s">
        <v>119</v>
      </c>
      <c r="I17" s="208"/>
      <c r="J17" s="227" t="s">
        <v>18</v>
      </c>
      <c r="K17" s="224"/>
      <c r="L17" s="224" t="s">
        <v>28</v>
      </c>
      <c r="M17" s="5"/>
      <c r="O17" s="58"/>
      <c r="P17" s="156">
        <f>IF(J4="Yes",AO19,0.5*AO3)</f>
        <v>1.0988378312732601</v>
      </c>
      <c r="Q17" s="143" t="s">
        <v>4</v>
      </c>
      <c r="R17" s="149">
        <f>IF(J4="Yes",AP19,0.5*AO3)</f>
        <v>1.7177461172463968</v>
      </c>
      <c r="T17" s="1"/>
      <c r="U17" s="1"/>
      <c r="V17" s="169"/>
      <c r="W17" s="170"/>
      <c r="X17" s="170"/>
      <c r="Y17" s="170"/>
      <c r="Z17" s="175" t="s">
        <v>300</v>
      </c>
      <c r="AA17" s="176">
        <f>COUNTIF(J12:L12,"PDIM")</f>
        <v>1</v>
      </c>
      <c r="AB17" s="118">
        <f>COUNTIF(J18:L18,"PDIM")</f>
        <v>0</v>
      </c>
      <c r="AC17" s="113"/>
      <c r="AD17" s="113"/>
      <c r="AE17" s="113"/>
      <c r="AF17" s="113"/>
      <c r="AG17" s="114"/>
      <c r="AI17" s="137" t="s">
        <v>323</v>
      </c>
      <c r="AJ17" s="137" t="s">
        <v>41</v>
      </c>
      <c r="AK17" s="10">
        <v>9.5399999999999999E-2</v>
      </c>
      <c r="AL17" s="173">
        <f>COUNTIF($I$11:$M$12,"T")*MIN(1,COUNTIF(I18:M20,"H")+COUNTIF(I18:M20,"H+SP"))</f>
        <v>0</v>
      </c>
      <c r="AM17" s="115">
        <f>COUNTIF($I$17:$M$18,"T")*MIN(1,COUNTIF(I12:M14,"H")+COUNTIF(I12:M14,"H+SP"))</f>
        <v>0</v>
      </c>
      <c r="AN17" s="78">
        <f>+IFERROR(IF(AL17=AM17,AW17,(AL17^$AW17)/(AL17^$AW17+AM17^$AW17)),0)</f>
        <v>0</v>
      </c>
      <c r="AO17" s="162">
        <f>+AK17*VLOOKUP(MAX(AL17,AM17),lkup_simul!$DP:$DT,4,FALSE)*AN17*AO$3</f>
        <v>0</v>
      </c>
      <c r="AP17" s="105">
        <f>+AK17*VLOOKUP(MAX(AL17,AM17),lkup_simul!$DP:$DT,4,FALSE)*(1-AN17)*AO$3</f>
        <v>0</v>
      </c>
      <c r="AQ17" s="163">
        <f>HLOOKUP($K$8,conv_Kstars!$CB$6:$CY$27,$AY17,FALSE)</f>
        <v>0.24486982734995888</v>
      </c>
      <c r="AR17" s="106">
        <f>HLOOKUP($K$7,conv_Kstars!$CB$6:$CY$27,$AY17,FALSE)</f>
        <v>0.23986982734995888</v>
      </c>
      <c r="AS17" s="162">
        <f t="shared" si="2"/>
        <v>0</v>
      </c>
      <c r="AT17" s="107">
        <f t="shared" si="2"/>
        <v>0</v>
      </c>
      <c r="AU17" s="58"/>
      <c r="AW17" s="11">
        <f>+IF($AO$2=4,IF(AL17=AM17,(AL17+1)/(AL17+1+AM17),IF(AL17&gt;AM17,$AO$2,$AP$2)),IF($AO$2=2.5,IF(AL17=AM17,(AL17)/(AL17+1+AM17),IF(AL17&gt;AM17,$AO$2,$AP$2)),IF($AO$2=3.5,IF(AL17=AM17,0.5,3.5))))</f>
        <v>0</v>
      </c>
      <c r="AX17" t="s">
        <v>41</v>
      </c>
      <c r="AY17">
        <v>9</v>
      </c>
    </row>
    <row r="18" spans="2:51">
      <c r="B18" s="4"/>
      <c r="C18" s="2" t="s">
        <v>290</v>
      </c>
      <c r="D18" s="77">
        <v>13.25</v>
      </c>
      <c r="E18" s="77">
        <v>14.5</v>
      </c>
      <c r="F18" s="212">
        <v>10.75</v>
      </c>
      <c r="H18" s="4" t="s">
        <v>120</v>
      </c>
      <c r="I18" s="224" t="s">
        <v>28</v>
      </c>
      <c r="J18" s="224" t="s">
        <v>31</v>
      </c>
      <c r="K18" s="224" t="s">
        <v>31</v>
      </c>
      <c r="L18" s="224" t="s">
        <v>31</v>
      </c>
      <c r="M18" s="225" t="s">
        <v>28</v>
      </c>
      <c r="O18" s="58"/>
      <c r="P18" s="157">
        <f>SUM(P19:P24)</f>
        <v>2.0913467912928296</v>
      </c>
      <c r="Q18" s="145" t="s">
        <v>297</v>
      </c>
      <c r="R18" s="150">
        <f>SUM(R19:R24)</f>
        <v>0.71968398063764982</v>
      </c>
      <c r="T18" s="1"/>
      <c r="U18" s="1"/>
      <c r="V18" s="169"/>
      <c r="W18" s="170"/>
      <c r="X18" s="170"/>
      <c r="Y18" s="170"/>
      <c r="Z18" s="175" t="s">
        <v>301</v>
      </c>
      <c r="AA18" s="176" t="str">
        <f>COUNTIF(J11:L11,"PNF")&amp;"_"&amp;COUNTA(J19:L19)</f>
        <v>1_2</v>
      </c>
      <c r="AB18" s="118" t="str">
        <f>COUNTIF(J17:L17,"PNF")&amp;"_"&amp;COUNTA(J13:L13)</f>
        <v>1_1</v>
      </c>
      <c r="AC18" s="113"/>
      <c r="AD18" s="113"/>
      <c r="AE18" s="113"/>
      <c r="AF18" s="113"/>
      <c r="AG18" s="114"/>
      <c r="AI18" s="137" t="s">
        <v>332</v>
      </c>
      <c r="AJ18" s="137" t="s">
        <v>331</v>
      </c>
      <c r="AK18" s="10">
        <v>9.1999999999999998E-2</v>
      </c>
      <c r="AL18" s="173"/>
      <c r="AM18" s="115"/>
      <c r="AN18" s="78">
        <v>0.5</v>
      </c>
      <c r="AO18" s="162">
        <f>+AK18*AN18*AO$3</f>
        <v>9.4299999999999953E-2</v>
      </c>
      <c r="AP18" s="105">
        <f>+AK18*(1-AN18)*AO$3</f>
        <v>9.4299999999999953E-2</v>
      </c>
      <c r="AQ18" s="163">
        <f>HLOOKUP($K$8,conv_Kstars!$CB$6:$CY$27,$AY18,FALSE)</f>
        <v>0.18929048836181264</v>
      </c>
      <c r="AR18" s="106">
        <f>HLOOKUP($K$7,conv_Kstars!$CB$6:$CY$27,$AY18,FALSE)</f>
        <v>0.17204774639880271</v>
      </c>
      <c r="AS18" s="162">
        <f>+IFERROR(AO18*AQ18,0)</f>
        <v>1.7850093052518924E-2</v>
      </c>
      <c r="AT18" s="107">
        <f>+IFERROR(AP18*AR18,0)</f>
        <v>1.6224102485407087E-2</v>
      </c>
      <c r="AU18" s="58"/>
      <c r="AW18" s="11"/>
      <c r="AX18" t="s">
        <v>33</v>
      </c>
      <c r="AY18">
        <v>18</v>
      </c>
    </row>
    <row r="19" spans="2:51">
      <c r="B19" s="4" t="s">
        <v>1</v>
      </c>
      <c r="C19" s="2" t="s">
        <v>16</v>
      </c>
      <c r="E19" s="77">
        <v>13.75</v>
      </c>
      <c r="F19" s="31"/>
      <c r="H19" s="4" t="s">
        <v>121</v>
      </c>
      <c r="I19" s="224" t="s">
        <v>31</v>
      </c>
      <c r="J19" s="224"/>
      <c r="K19" s="224" t="s">
        <v>31</v>
      </c>
      <c r="L19" s="224" t="s">
        <v>28</v>
      </c>
      <c r="M19" s="225"/>
      <c r="O19" s="58"/>
      <c r="P19" s="153">
        <f>SUM(Y7:Y9)</f>
        <v>1.3916000000000002</v>
      </c>
      <c r="Q19" s="142" t="s">
        <v>23</v>
      </c>
      <c r="R19" s="107">
        <f>SUM(AE7:AE9)</f>
        <v>1.6270358339828525E-2</v>
      </c>
      <c r="T19" s="1"/>
      <c r="U19" s="1"/>
      <c r="V19" s="169"/>
      <c r="W19" s="170"/>
      <c r="X19" s="170"/>
      <c r="Y19" s="170"/>
      <c r="Z19" s="161" t="s">
        <v>254</v>
      </c>
      <c r="AA19" s="177">
        <f>+VLOOKUP(AA18,lkup_simul!$W:$X,2,FALSE)</f>
        <v>3.0925731607788273E-2</v>
      </c>
      <c r="AB19" s="117">
        <f>+VLOOKUP(AB18,lkup_simul!$W:$X,2,FALSE)</f>
        <v>6.4030647656064088E-2</v>
      </c>
      <c r="AC19" s="113"/>
      <c r="AD19" s="113"/>
      <c r="AE19" s="113"/>
      <c r="AF19" s="113"/>
      <c r="AG19" s="114"/>
      <c r="AI19" s="56" t="s">
        <v>20</v>
      </c>
      <c r="AJ19" s="56" t="s">
        <v>20</v>
      </c>
      <c r="AK19" s="138"/>
      <c r="AL19" s="182"/>
      <c r="AM19" s="139"/>
      <c r="AN19" s="138"/>
      <c r="AO19" s="183">
        <f>SUM(AO5:AO18)</f>
        <v>1.0988378312732601</v>
      </c>
      <c r="AP19" s="133">
        <f>SUM(AP5:AP18)</f>
        <v>1.7177461172463968</v>
      </c>
      <c r="AQ19" s="184">
        <f>AS19/AO19</f>
        <v>0.31620630085185991</v>
      </c>
      <c r="AR19" s="134">
        <f>AT19/AP19</f>
        <v>0.33518021106754242</v>
      </c>
      <c r="AS19" s="183">
        <f>SUM(AS5:AS18)</f>
        <v>0.34745944586299776</v>
      </c>
      <c r="AT19" s="136">
        <f>SUM(AT5:AT18)</f>
        <v>0.57575450613909873</v>
      </c>
    </row>
    <row r="20" spans="2:51" ht="15.75" thickBot="1">
      <c r="B20" s="80"/>
      <c r="C20" s="33" t="s">
        <v>291</v>
      </c>
      <c r="D20" s="213">
        <v>14</v>
      </c>
      <c r="E20" s="213">
        <v>18</v>
      </c>
      <c r="F20" s="214">
        <v>12.5</v>
      </c>
      <c r="H20" s="209" t="s">
        <v>122</v>
      </c>
      <c r="I20" s="81"/>
      <c r="J20" s="81"/>
      <c r="K20" s="226" t="s">
        <v>123</v>
      </c>
      <c r="L20" s="33"/>
      <c r="M20" s="82"/>
      <c r="O20" s="58"/>
      <c r="P20" s="153">
        <f>SUM(Y10:Y12)</f>
        <v>0.17036996631679163</v>
      </c>
      <c r="Q20" s="144" t="s">
        <v>193</v>
      </c>
      <c r="R20" s="107">
        <f>SUM(AE10:AE12)</f>
        <v>2.7851419872122397E-2</v>
      </c>
      <c r="T20" s="1"/>
      <c r="U20" s="1"/>
      <c r="V20" s="169"/>
      <c r="W20" s="170"/>
      <c r="X20" s="170"/>
      <c r="Y20" s="170"/>
      <c r="Z20" s="175" t="s">
        <v>302</v>
      </c>
      <c r="AA20" s="177">
        <f>IF(VALUE(AA36)=0,0,VLOOKUP(AA36,lkup_simul!$CH:$CO,8,TRUE))</f>
        <v>0</v>
      </c>
      <c r="AB20" s="117">
        <f>IF(VALUE(AB36)=0,0,VLOOKUP(AB36,lkup_simul!$CH:$CO,8,TRUE))</f>
        <v>0</v>
      </c>
      <c r="AC20" s="113"/>
      <c r="AD20" s="113"/>
      <c r="AE20" s="113"/>
      <c r="AF20" s="113"/>
      <c r="AG20" s="114"/>
      <c r="AI20" s="56" t="s">
        <v>446</v>
      </c>
      <c r="AJ20" s="56" t="s">
        <v>446</v>
      </c>
      <c r="AK20" s="262"/>
      <c r="AL20" s="185">
        <f>COUNTIF($I$13:$M$13,"T")</f>
        <v>1</v>
      </c>
      <c r="AM20" s="132">
        <f>COUNTIF($I$19:$M$20,"T")</f>
        <v>0</v>
      </c>
      <c r="AN20" s="263"/>
      <c r="AO20" s="183"/>
      <c r="AP20" s="133"/>
      <c r="AQ20" s="184"/>
      <c r="AR20" s="134"/>
      <c r="AS20" s="183"/>
      <c r="AT20" s="136"/>
    </row>
    <row r="21" spans="2:51">
      <c r="O21" s="11"/>
      <c r="P21" s="153">
        <f>Y13</f>
        <v>5.28E-3</v>
      </c>
      <c r="Q21" s="144" t="s">
        <v>15</v>
      </c>
      <c r="R21" s="107">
        <f>AE13</f>
        <v>1.2346578332034293E-3</v>
      </c>
      <c r="T21" s="1"/>
      <c r="U21" s="1"/>
      <c r="V21" s="169"/>
      <c r="W21" s="170"/>
      <c r="X21" s="170"/>
      <c r="Y21" s="170"/>
      <c r="Z21" s="175" t="s">
        <v>303</v>
      </c>
      <c r="AA21" s="177">
        <f>IF(VALUE(AA35)=0,0,VLOOKUP(AA35,lkup_simul!$CQ:$CX,8,TRUE))</f>
        <v>0</v>
      </c>
      <c r="AB21" s="117">
        <f>IF(VALUE(AB35)=0,0,VLOOKUP(AB35,lkup_simul!$CQ:$CX,8,TRUE))</f>
        <v>0</v>
      </c>
      <c r="AC21" s="113"/>
      <c r="AD21" s="113"/>
      <c r="AE21" s="113"/>
      <c r="AF21" s="113"/>
      <c r="AG21" s="114"/>
    </row>
    <row r="22" spans="2:51">
      <c r="H22" s="2" t="s">
        <v>27</v>
      </c>
      <c r="I22" t="s">
        <v>354</v>
      </c>
      <c r="K22" s="2" t="s">
        <v>27</v>
      </c>
      <c r="L22" t="s">
        <v>354</v>
      </c>
      <c r="O22" s="11"/>
      <c r="P22" s="153">
        <f>SUM(AA7:AA13)</f>
        <v>1.8544296083125481E-2</v>
      </c>
      <c r="Q22" s="142" t="s">
        <v>17</v>
      </c>
      <c r="R22" s="107">
        <f>SUM(AG7:AG13)</f>
        <v>5.5827249181015963E-3</v>
      </c>
      <c r="V22" s="169"/>
      <c r="W22" s="170"/>
      <c r="X22" s="170"/>
      <c r="Y22" s="170"/>
      <c r="Z22" s="175" t="s">
        <v>304</v>
      </c>
      <c r="AA22" s="177">
        <f>VLOOKUP(J$7,dfk_pk!$A$8:$AS$19,HLOOKUP(I$8,dfk_pk!$D$4:$O$5,2,TRUE)+30,TRUE)</f>
        <v>0.28000000000000003</v>
      </c>
      <c r="AB22" s="117">
        <f>VLOOKUP(J$8,dfk_pk!$A$8:$AS$19,HLOOKUP(I$7,dfk_pk!$D$4:$O$5,2,TRUE)+30,TRUE)</f>
        <v>0.27</v>
      </c>
      <c r="AC22" s="113"/>
      <c r="AD22" s="113"/>
      <c r="AE22" s="113"/>
      <c r="AF22" s="113"/>
      <c r="AG22" s="114"/>
      <c r="AM22" s="59" t="s">
        <v>27</v>
      </c>
      <c r="AN22" s="59" t="s">
        <v>27</v>
      </c>
      <c r="AO22" s="186" t="s">
        <v>227</v>
      </c>
      <c r="AP22" s="132" t="s">
        <v>228</v>
      </c>
      <c r="AQ22" s="185" t="s">
        <v>329</v>
      </c>
      <c r="AR22" s="132" t="s">
        <v>330</v>
      </c>
      <c r="AS22" s="185" t="s">
        <v>229</v>
      </c>
      <c r="AT22" s="135" t="s">
        <v>230</v>
      </c>
    </row>
    <row r="23" spans="2:51">
      <c r="D23" s="253" t="s">
        <v>434</v>
      </c>
      <c r="E23" s="255">
        <f>P9</f>
        <v>293.30402873397122</v>
      </c>
      <c r="F23" s="256">
        <f>R9</f>
        <v>345.05153703079947</v>
      </c>
      <c r="H23" s="2"/>
      <c r="I23" t="s">
        <v>347</v>
      </c>
      <c r="K23" s="2" t="s">
        <v>283</v>
      </c>
      <c r="L23" t="s">
        <v>350</v>
      </c>
      <c r="N23" s="2"/>
      <c r="O23" s="58"/>
      <c r="P23" s="153">
        <f>AA14</f>
        <v>0.15809308302991454</v>
      </c>
      <c r="Q23" s="142" t="s">
        <v>18</v>
      </c>
      <c r="R23" s="107">
        <f>AG14</f>
        <v>9.2990313535295119E-2</v>
      </c>
      <c r="V23" s="172"/>
      <c r="W23" s="173"/>
      <c r="X23" s="173"/>
      <c r="Y23" s="173"/>
      <c r="Z23" s="170"/>
      <c r="AA23" s="171"/>
      <c r="AB23" s="112"/>
      <c r="AC23" s="113"/>
      <c r="AD23" s="113"/>
      <c r="AE23" s="113"/>
      <c r="AF23" s="115"/>
      <c r="AG23" s="116"/>
      <c r="AM23" s="131" t="s">
        <v>279</v>
      </c>
      <c r="AN23" s="131" t="s">
        <v>28</v>
      </c>
      <c r="AO23" s="187">
        <f t="shared" ref="AO23:AP27" si="8">+SUMIFS(AO$5:AO$18,$AX$5:$AX$18,$AN23)</f>
        <v>0.41860730571428539</v>
      </c>
      <c r="AP23" s="105">
        <f t="shared" si="8"/>
        <v>0.55814307428571386</v>
      </c>
      <c r="AQ23" s="163">
        <f t="shared" ref="AQ23:AR28" si="9">+IFERROR(AS23/AO23,"")</f>
        <v>0.32404950680796452</v>
      </c>
      <c r="AR23" s="106">
        <f t="shared" si="9"/>
        <v>0.31601159563418413</v>
      </c>
      <c r="AS23" s="162">
        <f t="shared" ref="AS23:AT27" si="10">+SUMIFS(AS$5:AS$18,$AX$5:$AX$18,$AN23)</f>
        <v>0.135649490962925</v>
      </c>
      <c r="AT23" s="107">
        <f t="shared" si="10"/>
        <v>0.1763796834971974</v>
      </c>
    </row>
    <row r="24" spans="2:51">
      <c r="D24" s="253" t="s">
        <v>432</v>
      </c>
      <c r="E24" s="254" t="s">
        <v>430</v>
      </c>
      <c r="F24" s="254" t="s">
        <v>430</v>
      </c>
      <c r="H24" s="2" t="s">
        <v>28</v>
      </c>
      <c r="I24" t="s">
        <v>279</v>
      </c>
      <c r="K24" s="2" t="s">
        <v>18</v>
      </c>
      <c r="L24" t="s">
        <v>351</v>
      </c>
      <c r="O24" s="84"/>
      <c r="P24" s="156">
        <f>IF(J4="Yes",AS19,0.48*P17)</f>
        <v>0.34745944586299776</v>
      </c>
      <c r="Q24" s="143" t="s">
        <v>4</v>
      </c>
      <c r="R24" s="149">
        <f>IF(J4="Yes",AT19,0.48*R17)</f>
        <v>0.57575450613909873</v>
      </c>
      <c r="S24" s="86"/>
      <c r="V24" s="169"/>
      <c r="W24" s="170"/>
      <c r="X24" s="170"/>
      <c r="Y24" s="170"/>
      <c r="Z24" s="170"/>
      <c r="AA24" s="171" t="s">
        <v>305</v>
      </c>
      <c r="AB24" s="112"/>
      <c r="AC24" s="113"/>
      <c r="AD24" s="113"/>
      <c r="AE24" s="113"/>
      <c r="AF24" s="113"/>
      <c r="AG24" s="114"/>
      <c r="AM24" s="131" t="s">
        <v>280</v>
      </c>
      <c r="AN24" s="131" t="s">
        <v>29</v>
      </c>
      <c r="AO24" s="187">
        <f t="shared" si="8"/>
        <v>0.11505745851965823</v>
      </c>
      <c r="AP24" s="105">
        <f t="shared" si="8"/>
        <v>0</v>
      </c>
      <c r="AQ24" s="163">
        <f t="shared" si="9"/>
        <v>0.54715683668038806</v>
      </c>
      <c r="AR24" s="106" t="str">
        <f t="shared" si="9"/>
        <v/>
      </c>
      <c r="AS24" s="162">
        <f t="shared" si="10"/>
        <v>6.2954475040101168E-2</v>
      </c>
      <c r="AT24" s="107">
        <f t="shared" si="10"/>
        <v>0</v>
      </c>
    </row>
    <row r="25" spans="2:51">
      <c r="D25" s="253" t="s">
        <v>433</v>
      </c>
      <c r="E25" s="271" t="s">
        <v>436</v>
      </c>
      <c r="F25" s="271"/>
      <c r="H25" s="2" t="s">
        <v>31</v>
      </c>
      <c r="I25" t="s">
        <v>348</v>
      </c>
      <c r="K25" s="2" t="s">
        <v>12</v>
      </c>
      <c r="L25" t="s">
        <v>352</v>
      </c>
      <c r="N25" s="2"/>
      <c r="O25" s="11"/>
      <c r="V25" s="169"/>
      <c r="W25" s="178">
        <f>+(D14*4-3)</f>
        <v>44</v>
      </c>
      <c r="X25" s="178">
        <f>+(E14*4-3)</f>
        <v>51</v>
      </c>
      <c r="Y25" s="178">
        <f>+(F14*4-3)</f>
        <v>59</v>
      </c>
      <c r="Z25" s="170"/>
      <c r="AA25" s="171" t="s">
        <v>290</v>
      </c>
      <c r="AB25" s="112"/>
      <c r="AC25" s="119">
        <f>+(D18*4-3)</f>
        <v>50</v>
      </c>
      <c r="AD25" s="119">
        <f>+(E18*4-3)</f>
        <v>55</v>
      </c>
      <c r="AE25" s="119">
        <f>+(F18*4-3)</f>
        <v>40</v>
      </c>
      <c r="AF25" s="113"/>
      <c r="AG25" s="114"/>
      <c r="AM25" s="131" t="s">
        <v>281</v>
      </c>
      <c r="AN25" s="131" t="s">
        <v>31</v>
      </c>
      <c r="AO25" s="187">
        <f t="shared" si="8"/>
        <v>0.21823274999999989</v>
      </c>
      <c r="AP25" s="105">
        <f t="shared" si="8"/>
        <v>0.79576735999999959</v>
      </c>
      <c r="AQ25" s="163">
        <f t="shared" si="9"/>
        <v>0.17251283673764145</v>
      </c>
      <c r="AR25" s="106">
        <f t="shared" si="9"/>
        <v>0.36883053632430141</v>
      </c>
      <c r="AS25" s="162">
        <f t="shared" si="10"/>
        <v>3.7647950771556506E-2</v>
      </c>
      <c r="AT25" s="107">
        <f t="shared" si="10"/>
        <v>0.29350330217817328</v>
      </c>
    </row>
    <row r="26" spans="2:51">
      <c r="D26" s="253" t="s">
        <v>425</v>
      </c>
      <c r="E26" s="271">
        <v>1</v>
      </c>
      <c r="F26" s="271"/>
      <c r="H26" s="2" t="s">
        <v>29</v>
      </c>
      <c r="I26" t="s">
        <v>280</v>
      </c>
      <c r="P26" s="9">
        <f>P18</f>
        <v>2.0913467912928296</v>
      </c>
      <c r="Q26" s="85" t="s">
        <v>2</v>
      </c>
      <c r="R26" s="9">
        <f>R18</f>
        <v>0.71968398063764982</v>
      </c>
      <c r="S26" s="85" t="s">
        <v>292</v>
      </c>
      <c r="T26" s="85" t="s">
        <v>293</v>
      </c>
      <c r="U26" s="85" t="s">
        <v>294</v>
      </c>
      <c r="V26" s="169"/>
      <c r="W26" s="178"/>
      <c r="X26" s="178">
        <f>+(E15*4-3)</f>
        <v>43</v>
      </c>
      <c r="Y26" s="178"/>
      <c r="Z26" s="170"/>
      <c r="AA26" s="171" t="s">
        <v>16</v>
      </c>
      <c r="AB26" s="112"/>
      <c r="AC26" s="119"/>
      <c r="AD26" s="119">
        <f>+(E19*4-3)</f>
        <v>52</v>
      </c>
      <c r="AE26" s="119"/>
      <c r="AF26" s="113"/>
      <c r="AG26" s="114"/>
      <c r="AM26" s="131" t="s">
        <v>282</v>
      </c>
      <c r="AN26" s="131" t="s">
        <v>41</v>
      </c>
      <c r="AO26" s="187">
        <f t="shared" si="8"/>
        <v>0</v>
      </c>
      <c r="AP26" s="105">
        <f t="shared" si="8"/>
        <v>0</v>
      </c>
      <c r="AQ26" s="163" t="str">
        <f t="shared" si="9"/>
        <v/>
      </c>
      <c r="AR26" s="106" t="str">
        <f t="shared" si="9"/>
        <v/>
      </c>
      <c r="AS26" s="162">
        <f t="shared" si="10"/>
        <v>0</v>
      </c>
      <c r="AT26" s="107">
        <f t="shared" si="10"/>
        <v>0</v>
      </c>
    </row>
    <row r="27" spans="2:51">
      <c r="D27" s="253" t="s">
        <v>435</v>
      </c>
      <c r="E27" s="255">
        <f>E23*VLOOKUP(E24,hts_calculator!$M$14:$N$18,2,FALSE)*VLOOKUP($E25,hts_calculator!$M$20:$N$21,2,FALSE)*VLOOKUP($E26,hts_calculator!$M$9:$N$11,2,FALSE)</f>
        <v>371.0295963484736</v>
      </c>
      <c r="F27" s="256">
        <f>F23*VLOOKUP(F24,hts_calculator!$M$14:$N$18,2,FALSE)*VLOOKUP($E25,hts_calculator!$M$20:$N$21,2,FALSE)*VLOOKUP($E26,hts_calculator!$M$9:$N$11,2,FALSE)</f>
        <v>436.49019434396138</v>
      </c>
      <c r="H27" s="2" t="s">
        <v>41</v>
      </c>
      <c r="I27" t="s">
        <v>349</v>
      </c>
      <c r="P27" s="10">
        <f>+POISSON(Q27,P$26,FALSE)</f>
        <v>0.12352066718431604</v>
      </c>
      <c r="Q27" s="85">
        <v>0</v>
      </c>
      <c r="R27" s="10">
        <f>+POISSON(Q27,R$26,FALSE)</f>
        <v>0.48690610340562812</v>
      </c>
      <c r="S27" s="10">
        <v>0</v>
      </c>
      <c r="T27" s="10">
        <f>+R27*P27</f>
        <v>6.014296674877876E-2</v>
      </c>
      <c r="U27" s="10">
        <f>+P27-S27-T27</f>
        <v>6.3377700435537282E-2</v>
      </c>
      <c r="V27" s="169"/>
      <c r="W27" s="178">
        <f>+(D16*4-3)</f>
        <v>50</v>
      </c>
      <c r="X27" s="178">
        <f>+(E16*4-3)</f>
        <v>64</v>
      </c>
      <c r="Y27" s="178">
        <f>+(F16*4-3)</f>
        <v>64</v>
      </c>
      <c r="Z27" s="170"/>
      <c r="AA27" s="171" t="s">
        <v>291</v>
      </c>
      <c r="AB27" s="112"/>
      <c r="AC27" s="119">
        <f>+(D20*4-3)</f>
        <v>53</v>
      </c>
      <c r="AD27" s="119">
        <f>+(E20*4-3)</f>
        <v>69</v>
      </c>
      <c r="AE27" s="119">
        <f>+(F20*4-3)</f>
        <v>47</v>
      </c>
      <c r="AF27" s="113"/>
      <c r="AG27" s="114"/>
      <c r="AM27" s="131" t="s">
        <v>278</v>
      </c>
      <c r="AN27" s="131" t="s">
        <v>33</v>
      </c>
      <c r="AO27" s="187">
        <f t="shared" si="8"/>
        <v>0.34694031703931638</v>
      </c>
      <c r="AP27" s="105">
        <f t="shared" si="8"/>
        <v>0.36383568296068325</v>
      </c>
      <c r="AQ27" s="163">
        <f t="shared" si="9"/>
        <v>0.32053792432492845</v>
      </c>
      <c r="AR27" s="106">
        <f t="shared" si="9"/>
        <v>0.29098718301131749</v>
      </c>
      <c r="AS27" s="162">
        <f t="shared" si="10"/>
        <v>0.11120752908841508</v>
      </c>
      <c r="AT27" s="107">
        <f t="shared" si="10"/>
        <v>0.10587152046372802</v>
      </c>
    </row>
    <row r="28" spans="2:51">
      <c r="F28" s="253" t="s">
        <v>439</v>
      </c>
      <c r="H28" s="2" t="s">
        <v>123</v>
      </c>
      <c r="I28" t="s">
        <v>353</v>
      </c>
      <c r="P28" s="10">
        <f>+POISSON(Q28,P$26,FALSE)</f>
        <v>0.25832455097426887</v>
      </c>
      <c r="Q28" s="85">
        <v>1</v>
      </c>
      <c r="R28" s="10">
        <f>+POISSON(Q28,R$26,FALSE)</f>
        <v>0.35041852269572954</v>
      </c>
      <c r="S28" s="10">
        <f>+SUM(R$27:R27)*P28</f>
        <v>0.12577980052888982</v>
      </c>
      <c r="T28" s="10">
        <f>+R28*P28</f>
        <v>9.0521707528440978E-2</v>
      </c>
      <c r="U28" s="10">
        <f>+P28-S28-T28</f>
        <v>4.2023042916938078E-2</v>
      </c>
      <c r="V28" s="169"/>
      <c r="W28" s="170"/>
      <c r="X28" s="170"/>
      <c r="Y28" s="178"/>
      <c r="Z28" s="178"/>
      <c r="AA28" s="176"/>
      <c r="AB28" s="118"/>
      <c r="AC28" s="113"/>
      <c r="AD28" s="113"/>
      <c r="AE28" s="113"/>
      <c r="AF28" s="108"/>
      <c r="AG28" s="120"/>
      <c r="AM28" s="59" t="s">
        <v>35</v>
      </c>
      <c r="AN28" s="59" t="s">
        <v>35</v>
      </c>
      <c r="AO28" s="188">
        <f>SUM(AO23:AO27)</f>
        <v>1.0988378312732598</v>
      </c>
      <c r="AP28" s="133">
        <f>SUM(AP23:AP27)</f>
        <v>1.7177461172463968</v>
      </c>
      <c r="AQ28" s="184">
        <f t="shared" si="9"/>
        <v>0.31620630085185991</v>
      </c>
      <c r="AR28" s="134">
        <f t="shared" si="9"/>
        <v>0.33518021106754242</v>
      </c>
      <c r="AS28" s="183">
        <f>SUM(AS23:AS27)</f>
        <v>0.34745944586299771</v>
      </c>
      <c r="AT28" s="136">
        <f>SUM(AT23:AT27)</f>
        <v>0.57575450613909873</v>
      </c>
    </row>
    <row r="29" spans="2:51">
      <c r="P29" s="10">
        <f>+POISSON(Q29,P$26,FALSE)</f>
        <v>0.27012311039609915</v>
      </c>
      <c r="Q29" s="85">
        <v>2</v>
      </c>
      <c r="R29" s="10">
        <f>+POISSON(Q29,R$26,FALSE)</f>
        <v>0.12609529865141361</v>
      </c>
      <c r="S29" s="10">
        <f>+SUM(R$27:R28)*P29</f>
        <v>0.22618073241374947</v>
      </c>
      <c r="T29" s="10">
        <f>+R29*P29</f>
        <v>3.4061254278044892E-2</v>
      </c>
      <c r="U29" s="10">
        <f>+P29-S29-T29</f>
        <v>9.8811237043047867E-3</v>
      </c>
      <c r="V29" s="169"/>
      <c r="W29" s="170"/>
      <c r="X29" s="170"/>
      <c r="Y29" s="178"/>
      <c r="Z29" s="178"/>
      <c r="AA29" s="176"/>
      <c r="AB29" s="118"/>
      <c r="AC29" s="113"/>
      <c r="AD29" s="113"/>
      <c r="AE29" s="113"/>
      <c r="AF29" s="108"/>
      <c r="AG29" s="120"/>
    </row>
    <row r="30" spans="2:51">
      <c r="H30" s="2" t="s">
        <v>437</v>
      </c>
      <c r="P30" s="10">
        <f>+POISSON(Q30,P$26,FALSE)</f>
        <v>0.18830703339364024</v>
      </c>
      <c r="Q30" s="85">
        <v>3</v>
      </c>
      <c r="R30" s="10">
        <f>+POISSON(Q30,R$26,FALSE)</f>
        <v>3.0249588824380884E-2</v>
      </c>
      <c r="S30" s="10">
        <f>+SUM(R$27:R29)*P30</f>
        <v>0.18141874794251847</v>
      </c>
      <c r="T30" s="10">
        <f>+R30*P30</f>
        <v>5.6962103328965777E-3</v>
      </c>
      <c r="U30" s="10">
        <f>+P30-S30-T30</f>
        <v>1.1920751182251952E-3</v>
      </c>
      <c r="V30" s="169"/>
      <c r="W30" s="170"/>
      <c r="X30" s="170"/>
      <c r="Y30" s="178"/>
      <c r="Z30" s="178" t="s">
        <v>306</v>
      </c>
      <c r="AA30" s="176" t="s">
        <v>307</v>
      </c>
      <c r="AB30" s="118" t="s">
        <v>308</v>
      </c>
      <c r="AC30" s="113"/>
      <c r="AD30" s="113"/>
      <c r="AE30" s="113"/>
      <c r="AF30" s="108"/>
      <c r="AG30" s="120"/>
      <c r="AO30" t="s">
        <v>142</v>
      </c>
    </row>
    <row r="31" spans="2:51">
      <c r="H31" s="20" t="s">
        <v>359</v>
      </c>
      <c r="P31" s="10">
        <f>+POISSON(Q31,P$26,FALSE)</f>
        <v>9.8453827516415307E-2</v>
      </c>
      <c r="Q31" s="85">
        <v>4</v>
      </c>
      <c r="R31" s="10">
        <f>+POISSON(Q31,R$26,FALSE)</f>
        <v>5.4425361244456487E-3</v>
      </c>
      <c r="S31" s="10">
        <f>+SUM(R$27:R30)*P31</f>
        <v>9.7830566898045243E-2</v>
      </c>
      <c r="T31" s="10">
        <f>+R31*P31</f>
        <v>5.3583851284803136E-4</v>
      </c>
      <c r="U31" s="10">
        <f>+P31-S31-T31</f>
        <v>8.7422105522032604E-5</v>
      </c>
      <c r="V31" s="169"/>
      <c r="W31" s="170"/>
      <c r="X31" s="170"/>
      <c r="Y31" s="170"/>
      <c r="Z31" s="175" t="s">
        <v>236</v>
      </c>
      <c r="AA31" s="176">
        <f t="shared" ref="AA31:AA36" si="11">IF($M$7=Z31,$L$7,0)</f>
        <v>0</v>
      </c>
      <c r="AB31" s="118">
        <f t="shared" ref="AB31:AB36" si="12">IF($M$8=Z31,$L$8,0)</f>
        <v>0</v>
      </c>
      <c r="AC31" s="113"/>
      <c r="AD31" s="113"/>
      <c r="AE31" s="113"/>
      <c r="AF31" s="108"/>
      <c r="AG31" s="120"/>
    </row>
    <row r="32" spans="2:51" ht="15.75" thickBot="1">
      <c r="H32" t="s">
        <v>360</v>
      </c>
      <c r="P32" s="10">
        <f>+POISSON(Q32,P$26,FALSE)</f>
        <v>4.1180219253390563E-2</v>
      </c>
      <c r="Q32" s="85">
        <v>5</v>
      </c>
      <c r="R32" s="10">
        <f>+POISSON(Q32,R$26,FALSE)</f>
        <v>7.8338121256105056E-4</v>
      </c>
      <c r="S32" s="10">
        <f>+SUM(R$27:R31)*P32</f>
        <v>4.1143653265416247E-2</v>
      </c>
      <c r="T32" s="10">
        <f>+R32*P32</f>
        <v>3.2259810092251022E-5</v>
      </c>
      <c r="U32" s="10">
        <f>+P32-S32-T32</f>
        <v>4.3061778820647391E-6</v>
      </c>
      <c r="V32" s="169"/>
      <c r="W32" s="170"/>
      <c r="X32" s="170"/>
      <c r="Y32" s="170"/>
      <c r="Z32" s="175" t="s">
        <v>237</v>
      </c>
      <c r="AA32" s="176">
        <f t="shared" si="11"/>
        <v>0</v>
      </c>
      <c r="AB32" s="118">
        <f t="shared" si="12"/>
        <v>0</v>
      </c>
      <c r="AC32" s="113"/>
      <c r="AD32" s="113"/>
      <c r="AE32" s="113"/>
      <c r="AF32" s="108"/>
      <c r="AG32" s="120"/>
      <c r="AO32" s="11" t="str">
        <f>B15</f>
        <v>Team A</v>
      </c>
      <c r="AP32" s="11"/>
      <c r="AQ32" s="35" t="str">
        <f>IF(J11="Q",IF(M19="Q",0,1+IF(L19="Q",-0.25,0)),"")</f>
        <v/>
      </c>
      <c r="AR32" s="34" t="str">
        <f>IF(K11="Q",IF(K19="Q",0,1+IF(L19="Q",-0.25,0)+IF(J19="Q",-0.25,0)),"")</f>
        <v/>
      </c>
      <c r="AS32" s="34">
        <f>IF(L11="Q",IF(I19="Q",0,1+IF(J19="Q",-0.25,0)),"")</f>
        <v>1</v>
      </c>
      <c r="AT32" s="11"/>
    </row>
    <row r="33" spans="4:46" ht="15.75" thickBot="1">
      <c r="H33" t="s">
        <v>438</v>
      </c>
      <c r="P33" s="10">
        <f>+POISSON(Q33,P$26,FALSE)</f>
        <v>1.4353686566718916E-2</v>
      </c>
      <c r="Q33" s="85">
        <v>6</v>
      </c>
      <c r="R33" s="10">
        <f>+POISSON(Q33,R$26,FALSE)</f>
        <v>9.3964484902114281E-5</v>
      </c>
      <c r="S33" s="10">
        <f>+SUM(R$27:R32)*P33</f>
        <v>1.4352185614836184E-2</v>
      </c>
      <c r="T33" s="10">
        <f>+R33*P33</f>
        <v>1.3487367646881402E-6</v>
      </c>
      <c r="U33" s="10">
        <f>+P33-S33-T33</f>
        <v>1.5221511804398366E-7</v>
      </c>
      <c r="V33" s="169"/>
      <c r="W33" s="170"/>
      <c r="X33" s="170"/>
      <c r="Y33" s="170"/>
      <c r="Z33" s="175" t="s">
        <v>238</v>
      </c>
      <c r="AA33" s="176">
        <f t="shared" si="11"/>
        <v>0</v>
      </c>
      <c r="AB33" s="118">
        <f t="shared" si="12"/>
        <v>26</v>
      </c>
      <c r="AC33" s="113"/>
      <c r="AD33" s="113"/>
      <c r="AE33" s="113"/>
      <c r="AF33" s="108"/>
      <c r="AG33" s="120"/>
      <c r="AH33">
        <f>IF(AA33*AB33&gt;0,FLOOR(AVERAGE(AA33:AB33),1),MAX(AA33:AB33))</f>
        <v>26</v>
      </c>
      <c r="AI33">
        <f>MIN(AA33*AB33,0.4)+1</f>
        <v>1</v>
      </c>
      <c r="AO33" s="36">
        <f>SUM(AP32:AT33)/AL5</f>
        <v>1</v>
      </c>
      <c r="AP33" s="34" t="str">
        <f>IF(I12="Q",IF(M19="Q",0,1+IF(L19="Q",-0.25,0)),"")</f>
        <v/>
      </c>
      <c r="AQ33" s="34" t="str">
        <f>IF(J12="Q",IF(L19="Q",0,1+IF(K19="Q",-0.25,0)+IF(M19="Q",-0.25,0)),"")</f>
        <v/>
      </c>
      <c r="AR33" s="34" t="str">
        <f>IF(K12="Q",IF(K19="Q",0,1+IF(L19="Q",-0.25,0)+IF(J19="Q",-0.25,0)),"")</f>
        <v/>
      </c>
      <c r="AS33" s="34">
        <f>IF(L12="Q",IF(J19="Q",0,1+IF(I19="Q",-0.25,0)+IF(K19="Q",-0.25,0)),"")</f>
        <v>1</v>
      </c>
      <c r="AT33" s="34">
        <f>IF(M12="Q",IF(I19="Q",0,1+IF(J19="Q",-0.25,0)),"")</f>
        <v>1</v>
      </c>
    </row>
    <row r="34" spans="4:46">
      <c r="P34" s="10">
        <f>+POISSON(Q34,P$26,FALSE)</f>
        <v>4.2883623349329412E-3</v>
      </c>
      <c r="Q34" s="85">
        <v>7</v>
      </c>
      <c r="R34" s="10">
        <f>+POISSON(Q34,R$26,FALSE)</f>
        <v>9.660676361845719E-6</v>
      </c>
      <c r="S34" s="10">
        <f>+SUM(R$27:R33)*P34</f>
        <v>4.2883168585616969E-3</v>
      </c>
      <c r="T34" s="10">
        <f>+R34*P34</f>
        <v>4.1428480640116178E-8</v>
      </c>
      <c r="U34" s="10">
        <f>+P34-S34-T34</f>
        <v>4.0478906041509436E-9</v>
      </c>
      <c r="V34" s="169"/>
      <c r="W34" s="170"/>
      <c r="X34" s="170"/>
      <c r="Y34" s="170"/>
      <c r="Z34" s="175" t="s">
        <v>69</v>
      </c>
      <c r="AA34" s="176">
        <f t="shared" si="11"/>
        <v>0</v>
      </c>
      <c r="AB34" s="118">
        <f t="shared" si="12"/>
        <v>0</v>
      </c>
      <c r="AC34" s="113"/>
      <c r="AD34" s="113"/>
      <c r="AE34" s="113"/>
      <c r="AF34" s="108"/>
      <c r="AG34" s="120"/>
    </row>
    <row r="35" spans="4:46" ht="15.75" thickBot="1">
      <c r="D35">
        <v>27</v>
      </c>
      <c r="P35" s="10">
        <f>+POISSON(Q35,P$26,FALSE)</f>
        <v>1.1210566011328803E-3</v>
      </c>
      <c r="Q35" s="85">
        <v>8</v>
      </c>
      <c r="R35" s="10">
        <f>+POISSON(Q35,R$26,FALSE)</f>
        <v>8.6907925246814387E-7</v>
      </c>
      <c r="S35" s="10">
        <f>+SUM(R$27:R34)*P35</f>
        <v>1.1210555429400021E-3</v>
      </c>
      <c r="T35" s="10">
        <f>+R35*P35</f>
        <v>9.7428703288704165E-10</v>
      </c>
      <c r="U35" s="10">
        <f>+P35-S35-T35</f>
        <v>8.3905845270809804E-11</v>
      </c>
      <c r="V35" s="169"/>
      <c r="W35" s="170"/>
      <c r="X35" s="170"/>
      <c r="Y35" s="170"/>
      <c r="Z35" s="175" t="s">
        <v>239</v>
      </c>
      <c r="AA35" s="176">
        <f t="shared" si="11"/>
        <v>0</v>
      </c>
      <c r="AB35" s="118">
        <f t="shared" si="12"/>
        <v>0</v>
      </c>
      <c r="AC35" s="113"/>
      <c r="AD35" s="113"/>
      <c r="AE35" s="113"/>
      <c r="AF35" s="108"/>
      <c r="AG35" s="120"/>
      <c r="AO35" s="11" t="str">
        <f>B19</f>
        <v>Team B</v>
      </c>
      <c r="AP35" s="11"/>
      <c r="AQ35" s="35" t="str">
        <f>IF(J17="Q",IF(M13="Q",0,1+IF(L13="Q",-0.25,0)),"")</f>
        <v/>
      </c>
      <c r="AR35" s="34" t="str">
        <f>IF(K17="Q",IF(K13="Q",0,1+IF(L13="Q",-0.25,0)+IF(J13="Q",-0.25,0)),"")</f>
        <v/>
      </c>
      <c r="AS35" s="34">
        <f>IF(L17="Q",IF(I13="Q",0,1+IF(J13="Q",-0.25,0)),"")</f>
        <v>1</v>
      </c>
      <c r="AT35" s="11"/>
    </row>
    <row r="36" spans="4:46" ht="15.75" thickBot="1">
      <c r="P36" s="10">
        <f>+POISSON(Q36,P$26,FALSE)</f>
        <v>2.6050201395965447E-4</v>
      </c>
      <c r="Q36" s="85">
        <v>9</v>
      </c>
      <c r="R36" s="10">
        <f>+POISSON(Q36,R$26,FALSE)</f>
        <v>6.949582398954085E-8</v>
      </c>
      <c r="S36" s="10">
        <f>+SUM(R$27:R35)*P36</f>
        <v>2.6050199446229664E-4</v>
      </c>
      <c r="T36" s="10">
        <f>+R36*P36</f>
        <v>1.8103802111061061E-11</v>
      </c>
      <c r="U36" s="10">
        <f>+P36-S36-T36</f>
        <v>1.3935557187466546E-12</v>
      </c>
      <c r="V36" s="189"/>
      <c r="W36" s="179"/>
      <c r="X36" s="179"/>
      <c r="Y36" s="179"/>
      <c r="Z36" s="180" t="s">
        <v>240</v>
      </c>
      <c r="AA36" s="181">
        <f t="shared" si="11"/>
        <v>0</v>
      </c>
      <c r="AB36" s="121">
        <f t="shared" si="12"/>
        <v>0</v>
      </c>
      <c r="AC36" s="122"/>
      <c r="AD36" s="122"/>
      <c r="AE36" s="122"/>
      <c r="AF36" s="123"/>
      <c r="AG36" s="124"/>
      <c r="AO36" s="36">
        <f>SUM(AP35:AT36)/AM5</f>
        <v>1</v>
      </c>
      <c r="AP36" s="11">
        <f>IF(I18="Q",IF(M13="Q",0,1+IF(L13="Q",-0.25,0)),"")</f>
        <v>1</v>
      </c>
      <c r="AQ36" s="34" t="str">
        <f>IF(J18="Q",IF(L13="Q",0,1+IF(K13="Q",-0.25,0)+IF(M13="Q",-0.25,0)),"")</f>
        <v/>
      </c>
      <c r="AR36" s="34" t="str">
        <f>IF(K18="Q",IF(K13="Q",0,1+IF(L13="Q",-0.25,0)+IF(J13="Q",-0.25,0)),"")</f>
        <v/>
      </c>
      <c r="AS36" s="34" t="str">
        <f>IF(L18="Q",IF(J13="Q",0,1+IF(I13="Q",-0.25,0)+IF(K13="Q",-0.25,0)),"")</f>
        <v/>
      </c>
      <c r="AT36" s="34">
        <f>IF(M18="Q",IF(I13="Q",0,1+IF(J13="Q",-0.25,0)),"")</f>
        <v>1</v>
      </c>
    </row>
    <row r="37" spans="4:46">
      <c r="P37" s="10">
        <f>1-POISSON(Q36,P$26,TRUE)</f>
        <v>6.698376512548343E-5</v>
      </c>
      <c r="Q37" s="85">
        <v>10</v>
      </c>
      <c r="R37" s="10">
        <f>1-POISSON(Q36,R$26,TRUE)</f>
        <v>5.3495006202552986E-9</v>
      </c>
      <c r="S37" s="10">
        <f>+SUM(R$27:R36)*P37</f>
        <v>6.6983764767153731E-5</v>
      </c>
      <c r="T37" s="10">
        <f>+R37*P37</f>
        <v>3.5832969308580883E-13</v>
      </c>
      <c r="U37" s="10">
        <f>+P37-S37-T37</f>
        <v>5.8349155316680328E-21</v>
      </c>
    </row>
    <row r="38" spans="4:46">
      <c r="Q38" s="10" t="s">
        <v>315</v>
      </c>
      <c r="R38" s="10"/>
      <c r="S38" s="10">
        <f>+SUM(S27:S37)</f>
        <v>0.69244254482418643</v>
      </c>
      <c r="T38" s="10">
        <f>+SUM(T27:T37)</f>
        <v>0.190991628369096</v>
      </c>
      <c r="U38" s="10">
        <f>+SUM(U27:U37)</f>
        <v>0.11656582680671748</v>
      </c>
    </row>
    <row r="40" spans="4:46">
      <c r="O40" s="84"/>
    </row>
    <row r="41" spans="4:46">
      <c r="O41" s="84"/>
    </row>
    <row r="42" spans="4:46">
      <c r="O42" s="84"/>
    </row>
    <row r="43" spans="4:46">
      <c r="O43" s="84"/>
      <c r="P43" s="2"/>
      <c r="Q43" s="2"/>
      <c r="R43" s="2"/>
    </row>
    <row r="44" spans="4:46">
      <c r="O44" s="84"/>
      <c r="P44" s="58"/>
      <c r="Q44" s="58"/>
      <c r="R44" s="58"/>
    </row>
    <row r="45" spans="4:46">
      <c r="O45" s="84"/>
      <c r="P45" s="58"/>
      <c r="Q45" s="2"/>
      <c r="R45" s="58"/>
    </row>
    <row r="46" spans="4:46">
      <c r="O46" s="84"/>
      <c r="P46" s="58"/>
      <c r="Q46" s="2"/>
      <c r="R46" s="58"/>
    </row>
    <row r="47" spans="4:46">
      <c r="O47" s="84"/>
    </row>
    <row r="48" spans="4:46">
      <c r="O48" s="84"/>
    </row>
    <row r="49" spans="15:33">
      <c r="O49" s="84"/>
    </row>
    <row r="50" spans="15:33">
      <c r="O50" s="2"/>
      <c r="T50" s="7"/>
      <c r="U50" s="7"/>
      <c r="AB50" s="7"/>
      <c r="AC50" s="7"/>
      <c r="AD50" s="7"/>
    </row>
    <row r="51" spans="15:33">
      <c r="O51" s="2"/>
      <c r="T51" s="7"/>
      <c r="U51" s="7"/>
      <c r="W51" s="8"/>
      <c r="X51" s="8"/>
      <c r="Y51" s="8"/>
      <c r="Z51" s="8"/>
      <c r="AA51" s="8"/>
      <c r="AB51" s="7"/>
      <c r="AC51" s="7"/>
      <c r="AD51" s="7"/>
    </row>
    <row r="55" spans="15:33">
      <c r="T55" s="8"/>
      <c r="U55" s="8"/>
      <c r="X55" s="8"/>
      <c r="Y55" s="8"/>
      <c r="Z55" s="8"/>
      <c r="AA55" s="8"/>
      <c r="AB55" s="8"/>
      <c r="AC55" s="8"/>
      <c r="AD55" s="8"/>
    </row>
    <row r="56" spans="15:33">
      <c r="T56" s="8"/>
      <c r="U56" s="8"/>
      <c r="X56" s="8"/>
      <c r="Y56" s="8"/>
      <c r="Z56" s="8"/>
      <c r="AA56" s="8"/>
      <c r="AB56" s="8"/>
      <c r="AC56" s="8"/>
      <c r="AD56" s="8"/>
    </row>
    <row r="57" spans="15:33">
      <c r="T57" s="8"/>
      <c r="U57" s="8"/>
      <c r="X57" s="8"/>
      <c r="Y57" s="8"/>
      <c r="Z57" s="8"/>
      <c r="AA57" s="8"/>
      <c r="AB57" s="8"/>
      <c r="AC57" s="8"/>
      <c r="AD57" s="8"/>
    </row>
    <row r="58" spans="15:33">
      <c r="T58" s="8"/>
      <c r="U58" s="8"/>
      <c r="X58" s="8"/>
      <c r="Y58" s="8"/>
      <c r="Z58" s="8"/>
      <c r="AA58" s="8"/>
      <c r="AB58" s="8"/>
      <c r="AC58" s="8"/>
      <c r="AD58" s="8"/>
    </row>
    <row r="59" spans="15:33"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15:33"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2" spans="15:33"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15:33"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5:33"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spans="15:33"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spans="15:33"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spans="15:33"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73" spans="15:33">
      <c r="P73" s="8"/>
      <c r="Q73" s="8"/>
      <c r="R73" s="8"/>
    </row>
    <row r="74" spans="15:33">
      <c r="O74" s="8"/>
      <c r="P74" s="8"/>
      <c r="Q74" s="8"/>
      <c r="R74" s="8"/>
      <c r="S74" s="8"/>
    </row>
    <row r="75" spans="15:33">
      <c r="O75" s="8"/>
      <c r="S75" s="8"/>
    </row>
    <row r="76" spans="15:33">
      <c r="P76" s="8"/>
      <c r="Q76" s="8"/>
      <c r="R76" s="8"/>
    </row>
    <row r="77" spans="15:33">
      <c r="O77" s="8"/>
      <c r="P77" s="8"/>
      <c r="Q77" s="8"/>
      <c r="R77" s="8"/>
      <c r="S77" s="8"/>
    </row>
    <row r="78" spans="15:33">
      <c r="O78" s="8"/>
      <c r="P78" s="8"/>
      <c r="Q78" s="8"/>
      <c r="R78" s="8"/>
      <c r="S78" s="8"/>
    </row>
    <row r="79" spans="15:33">
      <c r="O79" s="8"/>
      <c r="P79" s="8"/>
      <c r="Q79" s="8"/>
      <c r="R79" s="8"/>
      <c r="S79" s="8"/>
    </row>
    <row r="80" spans="15:33">
      <c r="O80" s="8"/>
      <c r="P80" s="8"/>
      <c r="Q80" s="8"/>
      <c r="R80" s="8"/>
      <c r="S80" s="8"/>
    </row>
    <row r="81" spans="15:19">
      <c r="O81" s="8"/>
      <c r="P81" s="8"/>
      <c r="Q81" s="8"/>
      <c r="R81" s="8"/>
      <c r="S81" s="8"/>
    </row>
    <row r="82" spans="15:19">
      <c r="O82" s="8"/>
      <c r="S82" s="8"/>
    </row>
  </sheetData>
  <mergeCells count="2">
    <mergeCell ref="E25:F25"/>
    <mergeCell ref="E26:F26"/>
  </mergeCells>
  <conditionalFormatting sqref="D4">
    <cfRule type="cellIs" dxfId="3" priority="3" operator="equal">
      <formula>"Percent"</formula>
    </cfRule>
    <cfRule type="cellIs" dxfId="2" priority="4" operator="equal">
      <formula>"Ratings"</formula>
    </cfRule>
  </conditionalFormatting>
  <conditionalFormatting sqref="J4">
    <cfRule type="cellIs" dxfId="1" priority="1" operator="equal">
      <formula>"Percent"</formula>
    </cfRule>
    <cfRule type="cellIs" dxfId="0" priority="2" operator="equal">
      <formula>"Ratings"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9">
        <x14:dataValidation type="list" allowBlank="1" showInputMessage="1" showErrorMessage="1" xr:uid="{61876D2F-8E8B-4A64-8C56-6A3A3C112665}">
          <x14:formula1>
            <xm:f>lkup_simul!$GA$1:$GA$2</xm:f>
          </x14:formula1>
          <xm:sqref>J4</xm:sqref>
        </x14:dataValidation>
        <x14:dataValidation type="list" allowBlank="1" showInputMessage="1" showErrorMessage="1" xr:uid="{26E6ADAA-FDD0-4EB5-850F-4190F0136F72}">
          <x14:formula1>
            <xm:f>lkup_simul!$FZ$1:$FZ$2</xm:f>
          </x14:formula1>
          <xm:sqref>D4</xm:sqref>
        </x14:dataValidation>
        <x14:dataValidation type="list" allowBlank="1" showInputMessage="1" showErrorMessage="1" xr:uid="{2400BD88-42C0-474E-A445-56BBC31E482C}">
          <x14:formula1>
            <xm:f>lkup_simul!$FW$2:$FW$7</xm:f>
          </x14:formula1>
          <xm:sqref>I18 K14 I12:I13 K20 I19:M19 J13:M13 M12 N20 M18</xm:sqref>
        </x14:dataValidation>
        <x14:dataValidation type="list" allowBlank="1" showInputMessage="1" showErrorMessage="1" xr:uid="{69B10C45-1343-4A98-BAD9-6F3EE7BC8ADB}">
          <x14:formula1>
            <xm:f>lkup_simul!$FX$1:$FX$8</xm:f>
          </x14:formula1>
          <xm:sqref>J18:L18 J12:L12</xm:sqref>
        </x14:dataValidation>
        <x14:dataValidation type="list" allowBlank="1" showInputMessage="1" showErrorMessage="1" xr:uid="{A5C6465E-E882-46BC-8073-28B21364FD46}">
          <x14:formula1>
            <xm:f>lkup_simul!$FW$1:$FW$8</xm:f>
          </x14:formula1>
          <xm:sqref>J11:L11 J17:L17</xm:sqref>
        </x14:dataValidation>
        <x14:dataValidation type="list" allowBlank="1" showInputMessage="1" showErrorMessage="1" xr:uid="{058E467E-91A1-4AA7-8A0D-B307C2C3E8A4}">
          <x14:formula1>
            <xm:f>lkup_simul!$EX$1:$EX$7</xm:f>
          </x14:formula1>
          <xm:sqref>M7:M8</xm:sqref>
        </x14:dataValidation>
        <x14:dataValidation type="list" allowBlank="1" showInputMessage="1" showErrorMessage="1" xr:uid="{02F227B6-0455-4DB2-97A4-D7C2F5A43B30}">
          <x14:formula1>
            <xm:f>hts_calculator!$M$9:$M$11</xm:f>
          </x14:formula1>
          <xm:sqref>E26</xm:sqref>
        </x14:dataValidation>
        <x14:dataValidation type="list" allowBlank="1" showInputMessage="1" showErrorMessage="1" xr:uid="{7B193F03-D3BB-4F77-BB43-DCA1656B74A2}">
          <x14:formula1>
            <xm:f>hts_calculator!$M$14:$M$18</xm:f>
          </x14:formula1>
          <xm:sqref>E24:F24</xm:sqref>
        </x14:dataValidation>
        <x14:dataValidation type="list" allowBlank="1" showInputMessage="1" showErrorMessage="1" xr:uid="{24F32EAB-A776-46D9-9270-F6C6B61A93E8}">
          <x14:formula1>
            <xm:f>hts_calculator!$M$20:$M$21</xm:f>
          </x14:formula1>
          <xm:sqref>E25:F25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218E-C4CF-455A-8C35-CB6AEF5BDE44}">
  <dimension ref="A1:HE102"/>
  <sheetViews>
    <sheetView topLeftCell="GO1" workbookViewId="0">
      <selection activeCell="HJ3" sqref="HJ3"/>
    </sheetView>
  </sheetViews>
  <sheetFormatPr defaultRowHeight="15"/>
  <cols>
    <col min="58" max="58" width="21" bestFit="1" customWidth="1"/>
    <col min="59" max="63" width="21" customWidth="1"/>
  </cols>
  <sheetData>
    <row r="1" spans="1:213" ht="75.75" thickBot="1">
      <c r="A1" t="s">
        <v>389</v>
      </c>
      <c r="N1" t="s">
        <v>15</v>
      </c>
      <c r="O1" s="1" t="s">
        <v>320</v>
      </c>
      <c r="P1" s="1" t="s">
        <v>319</v>
      </c>
      <c r="Q1" s="1" t="s">
        <v>321</v>
      </c>
      <c r="R1" s="1"/>
      <c r="S1" s="1" t="s">
        <v>197</v>
      </c>
      <c r="T1" s="1"/>
      <c r="U1" s="98"/>
      <c r="V1" s="90"/>
      <c r="W1" s="90"/>
      <c r="X1" s="90"/>
      <c r="Y1" s="90"/>
      <c r="Z1" s="91"/>
      <c r="AA1" s="101"/>
      <c r="AB1" s="102"/>
      <c r="AE1" s="102"/>
      <c r="AF1" s="125"/>
      <c r="AZ1" s="72" t="s">
        <v>250</v>
      </c>
      <c r="BA1" s="72" t="s">
        <v>249</v>
      </c>
      <c r="BB1" s="12" t="s">
        <v>143</v>
      </c>
      <c r="BC1" s="12" t="s">
        <v>144</v>
      </c>
      <c r="BD1" s="12" t="s">
        <v>145</v>
      </c>
      <c r="BE1" s="12" t="s">
        <v>146</v>
      </c>
      <c r="BF1" s="37" t="s">
        <v>147</v>
      </c>
      <c r="BG1" s="50"/>
      <c r="BH1" s="50" t="s">
        <v>317</v>
      </c>
      <c r="BI1" s="50" t="s">
        <v>318</v>
      </c>
      <c r="BJ1" s="50"/>
      <c r="BK1" s="50"/>
      <c r="DA1" t="s">
        <v>202</v>
      </c>
      <c r="DE1" t="s">
        <v>202</v>
      </c>
      <c r="EX1" t="s">
        <v>241</v>
      </c>
      <c r="FZ1" t="s">
        <v>286</v>
      </c>
      <c r="GA1" t="s">
        <v>356</v>
      </c>
      <c r="GD1">
        <v>2</v>
      </c>
      <c r="GE1">
        <v>3</v>
      </c>
      <c r="GF1">
        <v>4</v>
      </c>
      <c r="GG1">
        <v>5</v>
      </c>
      <c r="GI1" t="s">
        <v>447</v>
      </c>
      <c r="GJ1" t="s">
        <v>448</v>
      </c>
      <c r="GK1" t="s">
        <v>449</v>
      </c>
      <c r="GL1" t="s">
        <v>450</v>
      </c>
      <c r="GM1" t="s">
        <v>371</v>
      </c>
      <c r="GP1" s="72" t="s">
        <v>458</v>
      </c>
      <c r="GQ1" s="72" t="s">
        <v>459</v>
      </c>
      <c r="GR1" t="s">
        <v>460</v>
      </c>
      <c r="GS1" t="s">
        <v>463</v>
      </c>
      <c r="GT1" t="s">
        <v>462</v>
      </c>
      <c r="GU1" t="s">
        <v>461</v>
      </c>
      <c r="GV1" t="s">
        <v>208</v>
      </c>
      <c r="GX1" t="s">
        <v>466</v>
      </c>
      <c r="HD1" t="s">
        <v>476</v>
      </c>
    </row>
    <row r="2" spans="1:213" ht="16.5" thickTop="1" thickBot="1">
      <c r="N2" s="20">
        <v>0</v>
      </c>
      <c r="O2" s="1"/>
      <c r="P2" s="1"/>
      <c r="Q2" s="1"/>
      <c r="R2" s="7">
        <v>0.11</v>
      </c>
      <c r="S2" s="7"/>
      <c r="T2" s="1"/>
      <c r="U2" s="92"/>
      <c r="V2" s="93"/>
      <c r="W2" s="93"/>
      <c r="X2" s="93"/>
      <c r="Y2" s="93"/>
      <c r="Z2" s="94"/>
      <c r="AA2" s="112">
        <v>0</v>
      </c>
      <c r="AB2" s="129"/>
      <c r="AC2" t="s">
        <v>367</v>
      </c>
      <c r="AD2" t="s">
        <v>371</v>
      </c>
      <c r="AE2" s="113"/>
      <c r="AF2" s="244"/>
      <c r="AH2" s="244">
        <v>1</v>
      </c>
      <c r="AI2" s="245">
        <f>+AH2</f>
        <v>1</v>
      </c>
      <c r="BA2" s="8">
        <v>4.2000000000000003E-2</v>
      </c>
      <c r="BB2" t="s">
        <v>245</v>
      </c>
      <c r="BE2" s="7"/>
      <c r="BF2" s="8">
        <f>+BA2/3</f>
        <v>1.4E-2</v>
      </c>
      <c r="BG2" s="8"/>
      <c r="BH2" t="s">
        <v>245</v>
      </c>
      <c r="BI2" s="261">
        <v>1.811151629709544E-2</v>
      </c>
      <c r="BJ2" s="8"/>
      <c r="BK2" s="8"/>
      <c r="DP2" t="s">
        <v>223</v>
      </c>
      <c r="DQ2" t="s">
        <v>224</v>
      </c>
      <c r="DR2" t="s">
        <v>225</v>
      </c>
      <c r="DU2" t="str">
        <f>DU3&amp;DU4&amp;DU5&amp;DU6&amp;DU7&amp;DU8&amp;DU9&amp;DU10&amp;DU11&amp;DU12&amp;DU13</f>
        <v>0:0,1:1,2:1.934,3:2.826,4:3.7,5:4.53,6:5.328,7:6.09,8:6.816,9:7.506,10:8.16,</v>
      </c>
      <c r="DY2" s="63" t="s">
        <v>231</v>
      </c>
      <c r="DZ2" s="63" t="s">
        <v>197</v>
      </c>
      <c r="EB2" s="63" t="s">
        <v>232</v>
      </c>
      <c r="EC2" s="63" t="s">
        <v>233</v>
      </c>
      <c r="EX2" t="s">
        <v>236</v>
      </c>
      <c r="FP2" t="s">
        <v>15</v>
      </c>
      <c r="FQ2" t="s">
        <v>273</v>
      </c>
      <c r="FS2" t="s">
        <v>69</v>
      </c>
      <c r="FT2" t="s">
        <v>274</v>
      </c>
      <c r="FW2" t="s">
        <v>123</v>
      </c>
      <c r="FX2" t="s">
        <v>123</v>
      </c>
      <c r="FZ2" t="s">
        <v>287</v>
      </c>
      <c r="GA2" t="s">
        <v>357</v>
      </c>
      <c r="GC2" t="s">
        <v>20</v>
      </c>
      <c r="GD2" s="7">
        <v>1.811151629709544E-2</v>
      </c>
      <c r="GE2" s="7">
        <v>3.6575107482695303E-2</v>
      </c>
      <c r="GF2" s="7">
        <v>6.0231577250624613E-2</v>
      </c>
      <c r="GG2" s="7">
        <v>7.4636836873216247E-2</v>
      </c>
      <c r="GI2">
        <v>1</v>
      </c>
      <c r="GJ2">
        <v>774240</v>
      </c>
      <c r="GK2">
        <v>5193</v>
      </c>
      <c r="GL2" s="28">
        <v>6.7072225666460015E-3</v>
      </c>
      <c r="GM2" s="28">
        <f>+GL2</f>
        <v>6.7072225666460015E-3</v>
      </c>
      <c r="GP2" s="6">
        <v>0</v>
      </c>
      <c r="GQ2" s="8">
        <v>0</v>
      </c>
      <c r="GR2" t="e">
        <f>(1/GP2-1)^(1/3)</f>
        <v>#DIV/0!</v>
      </c>
      <c r="GS2">
        <v>10</v>
      </c>
      <c r="GT2" t="e">
        <f>+GS2*(1-GQ2)/GQ2</f>
        <v>#DIV/0!</v>
      </c>
      <c r="GU2" s="8" t="e">
        <f>+GS2/(GT2+GS2)</f>
        <v>#DIV/0!</v>
      </c>
      <c r="GV2" s="8" t="e">
        <f>+GS2^3/(GS2^3+GT2^3)</f>
        <v>#DIV/0!</v>
      </c>
      <c r="GX2" t="s">
        <v>467</v>
      </c>
      <c r="HD2" t="s">
        <v>477</v>
      </c>
    </row>
    <row r="3" spans="1:213" ht="30.75" thickBot="1">
      <c r="N3" s="20">
        <v>1</v>
      </c>
      <c r="O3" s="1">
        <v>2788</v>
      </c>
      <c r="P3" s="1">
        <v>5737</v>
      </c>
      <c r="Q3" s="1">
        <v>182</v>
      </c>
      <c r="R3" s="7">
        <f>S3</f>
        <v>3.873239436619718E-2</v>
      </c>
      <c r="S3" s="89">
        <v>3.873239436619718E-2</v>
      </c>
      <c r="T3" s="1"/>
      <c r="U3" s="92"/>
      <c r="V3" s="93"/>
      <c r="W3" s="93"/>
      <c r="X3" s="93"/>
      <c r="Y3" s="93"/>
      <c r="Z3" s="94"/>
      <c r="AA3" s="112">
        <v>1</v>
      </c>
      <c r="AB3" s="129"/>
      <c r="AC3" t="s">
        <v>368</v>
      </c>
      <c r="AD3">
        <v>1</v>
      </c>
      <c r="AE3" s="113"/>
      <c r="AF3" s="243"/>
      <c r="AH3" s="243">
        <f t="shared" ref="AH3:AH8" si="0">AH4-0.08</f>
        <v>1.0999999999999996</v>
      </c>
      <c r="AI3" s="245">
        <f t="shared" ref="AI3:AI33" si="1">+AH3</f>
        <v>1.0999999999999996</v>
      </c>
      <c r="BA3" s="8">
        <v>9.7000000000000003E-2</v>
      </c>
      <c r="BB3" s="12" t="s">
        <v>246</v>
      </c>
      <c r="BE3" s="7"/>
      <c r="BF3" s="8">
        <f>+BA3/3</f>
        <v>3.2333333333333332E-2</v>
      </c>
      <c r="BG3" s="8"/>
      <c r="BH3" s="12" t="s">
        <v>246</v>
      </c>
      <c r="BI3" s="261">
        <v>3.6575107482695303E-2</v>
      </c>
      <c r="BJ3" s="8"/>
      <c r="BK3" s="8"/>
      <c r="BY3" t="s">
        <v>175</v>
      </c>
      <c r="DP3">
        <v>0</v>
      </c>
      <c r="DQ3">
        <v>0</v>
      </c>
      <c r="DR3">
        <v>0</v>
      </c>
      <c r="DS3">
        <v>0</v>
      </c>
      <c r="DT3">
        <v>0</v>
      </c>
      <c r="DU3" t="str">
        <f>DP3&amp;":"&amp;DS3&amp;","</f>
        <v>0:0,</v>
      </c>
      <c r="DV3">
        <v>-99</v>
      </c>
      <c r="DX3">
        <v>-38.5</v>
      </c>
      <c r="DY3" s="62">
        <v>-99</v>
      </c>
      <c r="DZ3" s="64">
        <v>0.22</v>
      </c>
      <c r="EB3" s="62">
        <v>0</v>
      </c>
      <c r="EC3" s="64">
        <v>1.37</v>
      </c>
      <c r="EM3" s="65" t="s">
        <v>234</v>
      </c>
      <c r="EN3" s="65">
        <v>7</v>
      </c>
      <c r="EO3" s="65">
        <v>8</v>
      </c>
      <c r="EP3" s="65">
        <v>9</v>
      </c>
      <c r="EQ3" s="65">
        <v>10</v>
      </c>
      <c r="EX3" t="s">
        <v>237</v>
      </c>
      <c r="FA3" s="63" t="s">
        <v>242</v>
      </c>
      <c r="FB3" s="63">
        <v>2</v>
      </c>
      <c r="FC3" s="63">
        <v>3</v>
      </c>
      <c r="FD3" s="63">
        <v>4</v>
      </c>
      <c r="FE3" s="63">
        <v>5</v>
      </c>
      <c r="FF3" s="63" t="s">
        <v>20</v>
      </c>
      <c r="FH3" s="63" t="s">
        <v>257</v>
      </c>
      <c r="FI3" s="63" t="s">
        <v>13</v>
      </c>
      <c r="FJ3" s="63" t="s">
        <v>258</v>
      </c>
      <c r="FK3" s="63" t="s">
        <v>259</v>
      </c>
      <c r="FL3" s="63" t="s">
        <v>260</v>
      </c>
      <c r="FM3" s="63" t="s">
        <v>261</v>
      </c>
      <c r="FN3" s="63" t="s">
        <v>262</v>
      </c>
      <c r="FP3">
        <v>0</v>
      </c>
      <c r="FQ3">
        <v>0</v>
      </c>
      <c r="FS3">
        <v>0</v>
      </c>
      <c r="FT3">
        <v>0</v>
      </c>
      <c r="FW3" t="s">
        <v>28</v>
      </c>
      <c r="FX3" t="s">
        <v>28</v>
      </c>
      <c r="GC3">
        <v>1</v>
      </c>
      <c r="GD3" s="7">
        <v>1.1479770404591909E-2</v>
      </c>
      <c r="GE3" s="7">
        <v>1.9126738794435858E-2</v>
      </c>
      <c r="GF3" s="7">
        <v>4.1626331074540175E-2</v>
      </c>
      <c r="GG3" s="7">
        <v>4.511677282377919E-2</v>
      </c>
      <c r="GI3">
        <v>2</v>
      </c>
      <c r="GJ3">
        <v>122896</v>
      </c>
      <c r="GK3">
        <v>1087</v>
      </c>
      <c r="GL3" s="28">
        <v>8.8448769691446428E-3</v>
      </c>
      <c r="GM3" s="28">
        <f>+GL3</f>
        <v>8.8448769691446428E-3</v>
      </c>
      <c r="GN3">
        <f>+GM3/GM$2</f>
        <v>1.3187093288254472</v>
      </c>
      <c r="GP3" s="6">
        <f>+ROUND(GP2+1%,2)</f>
        <v>0.01</v>
      </c>
      <c r="GQ3" s="8">
        <f t="shared" ref="GQ3:GQ11" si="2">1/(1+GR3)</f>
        <v>0.17774412460002181</v>
      </c>
      <c r="GR3">
        <f t="shared" ref="GR3:GR11" si="3">(1/GP3-1)^(1/3)</f>
        <v>4.6260650091827413</v>
      </c>
      <c r="GS3">
        <v>10</v>
      </c>
      <c r="GT3">
        <f t="shared" ref="GT3:GT11" si="4">+GS3*(1-GQ3)/GQ3</f>
        <v>46.260650091827415</v>
      </c>
      <c r="GU3" s="8">
        <f t="shared" ref="GU3:GU11" si="5">+GS3/(GT3+GS3)</f>
        <v>0.17774412460002181</v>
      </c>
      <c r="GV3" s="8">
        <f t="shared" ref="GV3:GV11" si="6">+GS3^3/(GS3^3+GT3^3)</f>
        <v>1.0000000000000004E-2</v>
      </c>
      <c r="GX3" t="s">
        <v>468</v>
      </c>
      <c r="HD3" t="s">
        <v>478</v>
      </c>
    </row>
    <row r="4" spans="1:213" ht="27" thickTop="1" thickBot="1">
      <c r="N4" s="20">
        <v>3</v>
      </c>
      <c r="O4" s="1">
        <v>3118</v>
      </c>
      <c r="P4" s="1">
        <v>5267</v>
      </c>
      <c r="Q4" s="1">
        <v>273</v>
      </c>
      <c r="R4" s="7">
        <f t="shared" ref="R4:R15" si="7">S4</f>
        <v>5.0018389113644722E-2</v>
      </c>
      <c r="S4" s="89">
        <v>5.0018389113644722E-2</v>
      </c>
      <c r="T4" s="1"/>
      <c r="U4" s="92"/>
      <c r="V4" s="93"/>
      <c r="W4" s="93" t="s">
        <v>158</v>
      </c>
      <c r="X4" s="93">
        <v>0</v>
      </c>
      <c r="Y4" s="93">
        <v>0</v>
      </c>
      <c r="Z4" s="94"/>
      <c r="AA4" s="112">
        <f t="shared" ref="AA4:AA9" si="8">+AA3+1</f>
        <v>2</v>
      </c>
      <c r="AB4" s="113"/>
      <c r="AC4" s="246" t="s">
        <v>369</v>
      </c>
      <c r="AE4" s="113"/>
      <c r="AF4" s="243"/>
      <c r="AH4" s="243">
        <f t="shared" si="0"/>
        <v>1.1799999999999997</v>
      </c>
      <c r="AI4" s="245">
        <f t="shared" si="1"/>
        <v>1.1799999999999997</v>
      </c>
      <c r="AJ4" t="s">
        <v>14</v>
      </c>
      <c r="AK4" t="s">
        <v>310</v>
      </c>
      <c r="AL4" t="s">
        <v>311</v>
      </c>
      <c r="AM4" t="s">
        <v>312</v>
      </c>
      <c r="AN4" t="s">
        <v>313</v>
      </c>
      <c r="AO4" t="s">
        <v>314</v>
      </c>
      <c r="BA4" s="8">
        <v>0.20300000000000001</v>
      </c>
      <c r="BB4" t="s">
        <v>247</v>
      </c>
      <c r="BE4" s="7"/>
      <c r="BF4" s="8">
        <f>+BA4/3</f>
        <v>6.7666666666666667E-2</v>
      </c>
      <c r="BG4" s="8"/>
      <c r="BH4" t="s">
        <v>247</v>
      </c>
      <c r="BI4" s="261">
        <v>6.0231577250624613E-2</v>
      </c>
      <c r="BJ4" s="8"/>
      <c r="BK4" s="8"/>
      <c r="BM4" s="40"/>
      <c r="BN4" s="41"/>
      <c r="BO4" s="41"/>
      <c r="BP4" s="41"/>
      <c r="BQ4" s="42"/>
      <c r="BY4" s="12" t="s">
        <v>143</v>
      </c>
      <c r="BZ4" s="12" t="s">
        <v>150</v>
      </c>
      <c r="CA4" s="12" t="s">
        <v>15</v>
      </c>
      <c r="CB4" s="12" t="s">
        <v>173</v>
      </c>
      <c r="CC4" s="12" t="s">
        <v>26</v>
      </c>
      <c r="CD4" s="12" t="s">
        <v>174</v>
      </c>
      <c r="CE4" s="48" t="s">
        <v>73</v>
      </c>
      <c r="CI4" s="12" t="s">
        <v>182</v>
      </c>
      <c r="CJ4" s="12" t="s">
        <v>176</v>
      </c>
      <c r="CK4" s="12" t="s">
        <v>177</v>
      </c>
      <c r="CL4" s="12" t="s">
        <v>178</v>
      </c>
      <c r="CM4" s="12" t="s">
        <v>183</v>
      </c>
      <c r="CN4" s="12" t="s">
        <v>180</v>
      </c>
      <c r="CO4" s="50" t="s">
        <v>73</v>
      </c>
      <c r="CP4" s="50"/>
      <c r="CR4" s="12" t="s">
        <v>185</v>
      </c>
      <c r="CS4" s="12" t="s">
        <v>176</v>
      </c>
      <c r="CT4" s="12" t="s">
        <v>177</v>
      </c>
      <c r="CU4" s="12" t="s">
        <v>178</v>
      </c>
      <c r="CV4" s="12" t="s">
        <v>179</v>
      </c>
      <c r="CW4" s="12" t="s">
        <v>180</v>
      </c>
      <c r="CX4" s="48" t="s">
        <v>73</v>
      </c>
      <c r="DA4" s="54" t="s">
        <v>196</v>
      </c>
      <c r="DB4" s="54" t="s">
        <v>197</v>
      </c>
      <c r="DC4" s="55"/>
      <c r="DD4" s="55"/>
      <c r="DE4" s="54" t="s">
        <v>198</v>
      </c>
      <c r="DF4" s="54" t="s">
        <v>199</v>
      </c>
      <c r="DH4" s="56" t="s">
        <v>198</v>
      </c>
      <c r="DI4" s="56" t="s">
        <v>203</v>
      </c>
      <c r="DJ4" t="s">
        <v>204</v>
      </c>
      <c r="DK4" t="s">
        <v>204</v>
      </c>
      <c r="DL4" t="s">
        <v>204</v>
      </c>
      <c r="DM4" t="s">
        <v>204</v>
      </c>
      <c r="DN4" t="s">
        <v>204</v>
      </c>
      <c r="DP4">
        <v>1</v>
      </c>
      <c r="DQ4" s="6">
        <v>1</v>
      </c>
      <c r="DR4">
        <f>DT4/DP4</f>
        <v>1</v>
      </c>
      <c r="DS4" s="6">
        <f>$DP4*DQ4</f>
        <v>1</v>
      </c>
      <c r="DT4" s="6">
        <v>1</v>
      </c>
      <c r="DU4" t="str">
        <f t="shared" ref="DU4:DU14" si="9">DP4&amp;":"&amp;DS4&amp;","</f>
        <v>1:1,</v>
      </c>
      <c r="DV4">
        <v>-40</v>
      </c>
      <c r="DX4">
        <f>DY4+1.5</f>
        <v>-34.5</v>
      </c>
      <c r="DY4" s="62">
        <v>-36</v>
      </c>
      <c r="DZ4" s="64">
        <v>0.25</v>
      </c>
      <c r="EB4" s="62">
        <v>3.5</v>
      </c>
      <c r="EC4" s="64">
        <v>1.33</v>
      </c>
      <c r="EE4" s="56" t="s">
        <v>198</v>
      </c>
      <c r="EF4" s="56" t="s">
        <v>203</v>
      </c>
      <c r="EG4" t="s">
        <v>204</v>
      </c>
      <c r="EH4" t="s">
        <v>204</v>
      </c>
      <c r="EI4" t="s">
        <v>204</v>
      </c>
      <c r="EJ4" t="s">
        <v>204</v>
      </c>
      <c r="EK4" t="s">
        <v>204</v>
      </c>
      <c r="EM4" s="66">
        <v>-4</v>
      </c>
      <c r="EN4" s="66"/>
      <c r="EO4" s="66"/>
      <c r="EP4" s="66"/>
      <c r="EQ4" s="67">
        <v>0.47</v>
      </c>
      <c r="ES4" s="8" t="e">
        <f>EN14/EN4-1</f>
        <v>#DIV/0!</v>
      </c>
      <c r="ET4" s="8" t="e">
        <f t="shared" ref="ET4:EV8" si="10">EO14/EO4-1</f>
        <v>#DIV/0!</v>
      </c>
      <c r="EU4" s="8" t="e">
        <f t="shared" si="10"/>
        <v>#DIV/0!</v>
      </c>
      <c r="EV4" s="8">
        <f t="shared" si="10"/>
        <v>0.36170212765957466</v>
      </c>
      <c r="EX4" t="s">
        <v>238</v>
      </c>
      <c r="FA4" s="62">
        <v>0</v>
      </c>
      <c r="FB4" s="64">
        <v>0.96</v>
      </c>
      <c r="FC4" s="64">
        <v>0.91</v>
      </c>
      <c r="FD4" s="64">
        <v>0.81</v>
      </c>
      <c r="FE4" s="64">
        <v>0.74</v>
      </c>
      <c r="FF4" s="64">
        <v>0.87</v>
      </c>
      <c r="FH4" s="62" t="s">
        <v>263</v>
      </c>
      <c r="FI4" s="62">
        <v>888</v>
      </c>
      <c r="FJ4" s="64">
        <v>0.52</v>
      </c>
      <c r="FK4" s="64">
        <v>0.9</v>
      </c>
      <c r="FL4" s="64">
        <v>0.85</v>
      </c>
      <c r="FM4" s="62">
        <v>1.97</v>
      </c>
      <c r="FN4" s="62">
        <v>18.8</v>
      </c>
      <c r="FP4">
        <v>1</v>
      </c>
      <c r="FQ4" s="7">
        <f>FQ5+0.5%</f>
        <v>0.56500000000000006</v>
      </c>
      <c r="FS4">
        <v>1</v>
      </c>
      <c r="FT4" s="6">
        <v>0.9</v>
      </c>
      <c r="FW4" t="s">
        <v>29</v>
      </c>
      <c r="FX4" t="s">
        <v>29</v>
      </c>
      <c r="GC4">
        <v>5</v>
      </c>
      <c r="GD4" s="7">
        <v>9.4836670179135937E-3</v>
      </c>
      <c r="GE4" s="7">
        <v>2.1601988147581724E-2</v>
      </c>
      <c r="GF4" s="7">
        <v>3.7846930193439862E-2</v>
      </c>
      <c r="GG4" s="7">
        <v>6.2234794908062233E-2</v>
      </c>
      <c r="GI4">
        <v>3</v>
      </c>
      <c r="GJ4">
        <v>14499</v>
      </c>
      <c r="GK4">
        <v>159</v>
      </c>
      <c r="GL4" s="28">
        <v>1.0966273536105938E-2</v>
      </c>
      <c r="GM4" s="28">
        <f>+GM2*1.6</f>
        <v>1.0731556106633603E-2</v>
      </c>
      <c r="GN4">
        <f>+GM4/GM$2</f>
        <v>1.6</v>
      </c>
      <c r="GP4" s="6">
        <f t="shared" ref="GP4:GP67" si="11">+ROUND(GP3+1%,2)</f>
        <v>0.02</v>
      </c>
      <c r="GQ4" s="8">
        <f t="shared" si="2"/>
        <v>0.21462425138767507</v>
      </c>
      <c r="GR4">
        <f t="shared" si="3"/>
        <v>3.6593057100229709</v>
      </c>
      <c r="GS4">
        <v>10</v>
      </c>
      <c r="GT4">
        <f t="shared" si="4"/>
        <v>36.593057100229714</v>
      </c>
      <c r="GU4" s="8">
        <f t="shared" si="5"/>
        <v>0.21462425138767505</v>
      </c>
      <c r="GV4" s="8">
        <f t="shared" si="6"/>
        <v>0.02</v>
      </c>
      <c r="GX4" t="s">
        <v>469</v>
      </c>
      <c r="HD4" t="s">
        <v>479</v>
      </c>
    </row>
    <row r="5" spans="1:213" ht="39.75" thickTop="1" thickBot="1">
      <c r="N5" s="20">
        <v>4</v>
      </c>
      <c r="O5" s="1">
        <v>4039</v>
      </c>
      <c r="P5" s="1">
        <v>5620</v>
      </c>
      <c r="Q5" s="1">
        <v>437</v>
      </c>
      <c r="R5" s="7">
        <f t="shared" si="7"/>
        <v>6.5279770444763269E-2</v>
      </c>
      <c r="S5" s="89">
        <v>6.5279770444763269E-2</v>
      </c>
      <c r="T5" s="1"/>
      <c r="U5" s="92"/>
      <c r="V5" s="93"/>
      <c r="W5" s="93" t="s">
        <v>159</v>
      </c>
      <c r="X5" s="93">
        <v>0</v>
      </c>
      <c r="Y5" s="93">
        <v>0</v>
      </c>
      <c r="Z5" s="94"/>
      <c r="AA5" s="112">
        <f t="shared" si="8"/>
        <v>3</v>
      </c>
      <c r="AB5" s="113"/>
      <c r="AC5">
        <v>7</v>
      </c>
      <c r="AD5">
        <v>1.58</v>
      </c>
      <c r="AE5" s="113"/>
      <c r="AF5" s="243"/>
      <c r="AH5" s="243">
        <f t="shared" si="0"/>
        <v>1.2599999999999998</v>
      </c>
      <c r="AI5" s="245">
        <f t="shared" si="1"/>
        <v>1.2599999999999998</v>
      </c>
      <c r="BA5" s="8">
        <v>0.29199999999999998</v>
      </c>
      <c r="BB5" t="s">
        <v>248</v>
      </c>
      <c r="BE5" s="7"/>
      <c r="BF5" s="8">
        <f>+BA5/3</f>
        <v>9.7333333333333327E-2</v>
      </c>
      <c r="BG5" s="8"/>
      <c r="BH5" t="s">
        <v>248</v>
      </c>
      <c r="BI5" s="261">
        <v>7.4636836873216247E-2</v>
      </c>
      <c r="BJ5" s="8"/>
      <c r="BK5" s="8"/>
      <c r="BM5" s="12" t="s">
        <v>148</v>
      </c>
      <c r="BN5" s="12" t="s">
        <v>149</v>
      </c>
      <c r="BO5" s="12" t="s">
        <v>17</v>
      </c>
      <c r="BP5" s="12" t="s">
        <v>150</v>
      </c>
      <c r="BQ5" s="12" t="s">
        <v>151</v>
      </c>
      <c r="BS5" s="12" t="s">
        <v>148</v>
      </c>
      <c r="BT5" s="12" t="s">
        <v>149</v>
      </c>
      <c r="BU5" s="12" t="s">
        <v>162</v>
      </c>
      <c r="BV5" s="12" t="s">
        <v>163</v>
      </c>
      <c r="BY5" s="14">
        <v>2</v>
      </c>
      <c r="BZ5" s="14">
        <v>20</v>
      </c>
      <c r="CA5" s="14">
        <v>1</v>
      </c>
      <c r="CB5" s="14">
        <v>0</v>
      </c>
      <c r="CC5" s="17">
        <f>CA5/(BZ5+CA5)</f>
        <v>4.7619047619047616E-2</v>
      </c>
      <c r="CD5" s="15">
        <v>0</v>
      </c>
      <c r="CE5" s="7">
        <f t="shared" ref="CE5:CE11" si="12">CE6-1.5%</f>
        <v>3.5000000000000003E-2</v>
      </c>
      <c r="CF5" s="39">
        <f t="shared" ref="CF5:CF13" si="13">CF6-0.025%</f>
        <v>4.2499999999999977E-3</v>
      </c>
      <c r="CH5">
        <v>1</v>
      </c>
      <c r="CI5" s="14" t="s">
        <v>184</v>
      </c>
      <c r="CJ5" s="14">
        <v>631</v>
      </c>
      <c r="CK5" s="14">
        <v>441</v>
      </c>
      <c r="CL5" s="14">
        <v>189</v>
      </c>
      <c r="CM5" s="17">
        <v>0.59</v>
      </c>
      <c r="CN5" s="38">
        <f>CL5/(CK5+CL5)</f>
        <v>0.3</v>
      </c>
      <c r="CO5" s="52">
        <v>0.3</v>
      </c>
      <c r="CP5" s="51"/>
      <c r="CQ5" s="14">
        <v>1</v>
      </c>
      <c r="CR5" s="14" t="s">
        <v>186</v>
      </c>
      <c r="CS5" s="14">
        <v>229</v>
      </c>
      <c r="CT5" s="14">
        <v>618</v>
      </c>
      <c r="CU5" s="14">
        <v>147</v>
      </c>
      <c r="CV5" s="17">
        <v>0.73</v>
      </c>
      <c r="CW5" s="17">
        <v>0.39</v>
      </c>
      <c r="CX5" s="53">
        <v>0.39</v>
      </c>
      <c r="DA5" s="14">
        <v>-11</v>
      </c>
      <c r="DB5" s="15">
        <v>0</v>
      </c>
      <c r="DC5" s="55"/>
      <c r="DD5" s="55">
        <f>-46-0.5</f>
        <v>-46.5</v>
      </c>
      <c r="DE5" s="14" t="s">
        <v>200</v>
      </c>
      <c r="DF5" s="14">
        <v>0.40600000000000003</v>
      </c>
      <c r="DH5" s="56">
        <v>-99</v>
      </c>
      <c r="DI5" s="57">
        <v>0.4</v>
      </c>
      <c r="DO5" s="257"/>
      <c r="DP5">
        <v>2</v>
      </c>
      <c r="DQ5" s="257">
        <v>0.96699999999999997</v>
      </c>
      <c r="DR5" s="257">
        <f t="shared" ref="DR5:DR13" si="14">DT5/DP5</f>
        <v>1.125</v>
      </c>
      <c r="DS5" s="6">
        <f t="shared" ref="DS5:DS13" si="15">$DP5*DQ5</f>
        <v>1.9339999999999999</v>
      </c>
      <c r="DT5" s="6">
        <v>2.25</v>
      </c>
      <c r="DU5" t="str">
        <f t="shared" si="9"/>
        <v>2:1.934,</v>
      </c>
      <c r="DV5">
        <v>0.39</v>
      </c>
      <c r="DX5">
        <f t="shared" ref="DX5:DX19" si="16">DY5+1.5</f>
        <v>-30.5</v>
      </c>
      <c r="DY5" s="62">
        <v>-32</v>
      </c>
      <c r="DZ5" s="64">
        <v>0.28000000000000003</v>
      </c>
      <c r="EB5" s="62">
        <v>4</v>
      </c>
      <c r="EC5" s="64">
        <v>1.29</v>
      </c>
      <c r="EE5" s="56">
        <v>-99</v>
      </c>
      <c r="EF5" s="57">
        <f>EF6-(EF7-EF6)</f>
        <v>0.20124999999999998</v>
      </c>
      <c r="EM5" s="66">
        <v>0</v>
      </c>
      <c r="EN5" s="66"/>
      <c r="EO5" s="67">
        <v>0.55000000000000004</v>
      </c>
      <c r="EP5" s="67">
        <v>0.54</v>
      </c>
      <c r="EQ5" s="67">
        <v>0.46</v>
      </c>
      <c r="ES5" s="8" t="e">
        <f>EN15/EN5-1</f>
        <v>#DIV/0!</v>
      </c>
      <c r="ET5" s="8">
        <f t="shared" si="10"/>
        <v>0.25454545454545441</v>
      </c>
      <c r="EU5" s="8">
        <f t="shared" si="10"/>
        <v>0.2222222222222221</v>
      </c>
      <c r="EV5" s="8">
        <f t="shared" si="10"/>
        <v>0.63043478260869557</v>
      </c>
      <c r="EX5" t="s">
        <v>69</v>
      </c>
      <c r="FA5" s="62">
        <v>1</v>
      </c>
      <c r="FB5" s="64">
        <v>0.04</v>
      </c>
      <c r="FC5" s="64">
        <v>0.09</v>
      </c>
      <c r="FD5" s="64">
        <v>0.17</v>
      </c>
      <c r="FE5" s="64">
        <v>0.23</v>
      </c>
      <c r="FF5" s="64">
        <v>0.12</v>
      </c>
      <c r="FH5" s="62" t="s">
        <v>168</v>
      </c>
      <c r="FI5" s="62">
        <v>113</v>
      </c>
      <c r="FJ5" s="64">
        <v>0.48</v>
      </c>
      <c r="FK5" s="64">
        <v>0.96</v>
      </c>
      <c r="FL5" s="64">
        <v>1.05</v>
      </c>
      <c r="FM5" s="62">
        <v>2.2599999999999998</v>
      </c>
      <c r="FN5" s="62">
        <v>17.5</v>
      </c>
      <c r="FP5">
        <v>8</v>
      </c>
      <c r="FQ5" s="7">
        <v>0.56000000000000005</v>
      </c>
      <c r="FS5">
        <v>5</v>
      </c>
      <c r="FT5" s="6">
        <f>FT4+0.025</f>
        <v>0.92500000000000004</v>
      </c>
      <c r="FW5" t="s">
        <v>283</v>
      </c>
      <c r="FX5" t="s">
        <v>283</v>
      </c>
      <c r="GC5">
        <v>5.5</v>
      </c>
      <c r="GD5" s="7">
        <v>1.1168662997733895E-2</v>
      </c>
      <c r="GE5" s="7">
        <v>2.7821316614420062E-2</v>
      </c>
      <c r="GF5" s="7">
        <v>4.8299845440494593E-2</v>
      </c>
      <c r="GG5" s="7">
        <v>5.9481902698799528E-2</v>
      </c>
      <c r="GI5">
        <v>4</v>
      </c>
      <c r="GJ5">
        <v>1150</v>
      </c>
      <c r="GK5">
        <v>15</v>
      </c>
      <c r="GL5" s="28">
        <v>1.3043478260869565E-2</v>
      </c>
      <c r="GM5" s="28">
        <f>+GM2*1.8</f>
        <v>1.2073000619962804E-2</v>
      </c>
      <c r="GN5">
        <f>+GM5/GM$2</f>
        <v>1.8</v>
      </c>
      <c r="GP5" s="6">
        <f t="shared" si="11"/>
        <v>0.03</v>
      </c>
      <c r="GQ5" s="8">
        <f t="shared" si="2"/>
        <v>0.23890366158590237</v>
      </c>
      <c r="GR5">
        <f t="shared" si="3"/>
        <v>3.185787665880671</v>
      </c>
      <c r="GS5">
        <v>10</v>
      </c>
      <c r="GT5">
        <f t="shared" si="4"/>
        <v>31.85787665880671</v>
      </c>
      <c r="GU5" s="8">
        <f t="shared" si="5"/>
        <v>0.23890366158590237</v>
      </c>
      <c r="GV5" s="8">
        <f t="shared" si="6"/>
        <v>3.0000000000000009E-2</v>
      </c>
      <c r="HD5" t="s">
        <v>474</v>
      </c>
      <c r="HE5" t="s">
        <v>475</v>
      </c>
    </row>
    <row r="6" spans="1:213" ht="27" thickTop="1" thickBot="1">
      <c r="A6" t="s">
        <v>68</v>
      </c>
      <c r="G6" t="s">
        <v>69</v>
      </c>
      <c r="H6" t="s">
        <v>70</v>
      </c>
      <c r="I6" t="s">
        <v>71</v>
      </c>
      <c r="N6" s="20">
        <v>5</v>
      </c>
      <c r="O6" s="1">
        <v>4434</v>
      </c>
      <c r="P6" s="1">
        <v>5492</v>
      </c>
      <c r="Q6" s="1">
        <v>611</v>
      </c>
      <c r="R6" s="7">
        <f t="shared" si="7"/>
        <v>8.7556125721616418E-2</v>
      </c>
      <c r="S6" s="89">
        <v>8.7556125721616418E-2</v>
      </c>
      <c r="T6" s="1"/>
      <c r="U6" s="92"/>
      <c r="V6" s="93"/>
      <c r="W6" s="93" t="s">
        <v>160</v>
      </c>
      <c r="X6" s="93">
        <v>0</v>
      </c>
      <c r="Y6" s="93">
        <v>0</v>
      </c>
      <c r="Z6" s="94"/>
      <c r="AA6" s="112">
        <f t="shared" si="8"/>
        <v>4</v>
      </c>
      <c r="AB6" s="113"/>
      <c r="AC6">
        <v>8</v>
      </c>
      <c r="AD6">
        <v>1.66</v>
      </c>
      <c r="AE6" s="113"/>
      <c r="AF6" s="243"/>
      <c r="AH6" s="243">
        <f t="shared" si="0"/>
        <v>1.3399999999999999</v>
      </c>
      <c r="AI6" s="245">
        <f t="shared" si="1"/>
        <v>1.3399999999999999</v>
      </c>
      <c r="BH6">
        <v>0</v>
      </c>
      <c r="BI6" s="7">
        <f>IF(MOD(BH6*2,2)=1,AVERAGE(BI5,BI7),VLOOKUP(BH6,$BB:$BF,5,FALSE))</f>
        <v>0</v>
      </c>
      <c r="BM6" s="14" t="s">
        <v>152</v>
      </c>
      <c r="BN6" s="14">
        <v>5754</v>
      </c>
      <c r="BO6" s="38">
        <v>8.4000000000000005E-2</v>
      </c>
      <c r="BP6" s="38">
        <v>0.06</v>
      </c>
      <c r="BQ6" s="38">
        <v>6.0999999999999999E-2</v>
      </c>
      <c r="BS6" s="14" t="s">
        <v>152</v>
      </c>
      <c r="BT6" s="14">
        <v>54345</v>
      </c>
      <c r="BU6" s="15">
        <v>5.96E-2</v>
      </c>
      <c r="BV6" s="15">
        <v>0.06</v>
      </c>
      <c r="BY6" s="14">
        <v>3</v>
      </c>
      <c r="BZ6" s="14">
        <v>6</v>
      </c>
      <c r="CA6" s="14">
        <v>0</v>
      </c>
      <c r="CB6" s="14">
        <v>0</v>
      </c>
      <c r="CC6" s="17">
        <f t="shared" ref="CC6:CC32" si="17">CA6/(BZ6+CA6)</f>
        <v>0</v>
      </c>
      <c r="CD6" s="15">
        <v>0</v>
      </c>
      <c r="CE6" s="7">
        <f t="shared" si="12"/>
        <v>0.05</v>
      </c>
      <c r="CF6" s="39">
        <f t="shared" si="13"/>
        <v>4.4999999999999979E-3</v>
      </c>
      <c r="CH6">
        <f>CI6</f>
        <v>17</v>
      </c>
      <c r="CI6" s="14">
        <v>17</v>
      </c>
      <c r="CJ6" s="14">
        <v>471</v>
      </c>
      <c r="CK6" s="14">
        <v>283</v>
      </c>
      <c r="CL6" s="14">
        <v>155</v>
      </c>
      <c r="CM6" s="17">
        <v>0.62</v>
      </c>
      <c r="CN6" s="38">
        <f t="shared" ref="CN6:CN19" si="18">CL6/(CK6+CL6)</f>
        <v>0.35388127853881279</v>
      </c>
      <c r="CO6" s="52">
        <v>0.33</v>
      </c>
      <c r="CP6" s="51"/>
      <c r="CQ6">
        <f>CR6</f>
        <v>14</v>
      </c>
      <c r="CR6" s="14">
        <v>14</v>
      </c>
      <c r="CS6" s="14">
        <v>195</v>
      </c>
      <c r="CT6" s="14">
        <v>620</v>
      </c>
      <c r="CU6" s="14">
        <v>146</v>
      </c>
      <c r="CV6" s="17">
        <v>0.76</v>
      </c>
      <c r="CW6" s="17">
        <v>0.43</v>
      </c>
      <c r="CX6" s="8">
        <v>0.43</v>
      </c>
      <c r="DA6" s="14">
        <v>-6</v>
      </c>
      <c r="DB6" s="15">
        <v>1.2999999999999999E-2</v>
      </c>
      <c r="DC6" s="55"/>
      <c r="DD6" s="55">
        <f>+AVERAGE(DE6,DE7)-0.5</f>
        <v>-42.5</v>
      </c>
      <c r="DE6" s="14">
        <v>-44</v>
      </c>
      <c r="DF6" s="14">
        <v>0.47299999999999998</v>
      </c>
      <c r="DH6" s="56">
        <v>-46</v>
      </c>
      <c r="DI6" s="57">
        <f>DL6*DN6+DM6*(1-DL6)</f>
        <v>0.41437499999999999</v>
      </c>
      <c r="DJ6">
        <f t="shared" ref="DJ6:DJ37" si="19">VLOOKUP(DH6,$DD$5:$DD$24,1,TRUE)</f>
        <v>-46.5</v>
      </c>
      <c r="DK6">
        <f t="shared" ref="DK6:DK37" si="20">VLOOKUP(DH6,$DD$5:$DD$24,1,TRUE)+4</f>
        <v>-42.5</v>
      </c>
      <c r="DL6">
        <f>(DH6-DJ6)/(DK6-DJ6)</f>
        <v>0.125</v>
      </c>
      <c r="DM6">
        <f>VLOOKUP(DJ6,$DD$5:$DF$24,3,FALSE)</f>
        <v>0.40600000000000003</v>
      </c>
      <c r="DN6">
        <f>VLOOKUP(DK6,$DD$5:$DF$24,3,FALSE)</f>
        <v>0.47299999999999998</v>
      </c>
      <c r="DO6" s="257"/>
      <c r="DP6">
        <f>DP5+1</f>
        <v>3</v>
      </c>
      <c r="DQ6" s="257">
        <v>0.94199999999999995</v>
      </c>
      <c r="DR6" s="257">
        <f t="shared" si="14"/>
        <v>1.1166666666666667</v>
      </c>
      <c r="DS6" s="6">
        <f t="shared" si="15"/>
        <v>2.8259999999999996</v>
      </c>
      <c r="DT6" s="6">
        <v>3.35</v>
      </c>
      <c r="DU6" t="str">
        <f t="shared" si="9"/>
        <v>3:2.826,</v>
      </c>
      <c r="DX6">
        <f t="shared" si="16"/>
        <v>-26.5</v>
      </c>
      <c r="DY6" s="62">
        <v>-28</v>
      </c>
      <c r="DZ6" s="64">
        <v>0.31</v>
      </c>
      <c r="EB6" s="62">
        <v>4.5</v>
      </c>
      <c r="EC6" s="64">
        <v>1.25</v>
      </c>
      <c r="EE6" s="56">
        <v>-40</v>
      </c>
      <c r="EF6" s="57">
        <f>EF7-(EF8-EF7)</f>
        <v>0.20874999999999999</v>
      </c>
      <c r="EG6">
        <f t="shared" ref="EG6:EG69" si="21">VLOOKUP(EE6,$DD$5:$DD$24,1,TRUE)</f>
        <v>-42.5</v>
      </c>
      <c r="EH6">
        <f t="shared" ref="EH6:EH69" si="22">VLOOKUP(EE6,$DD$5:$DD$24,1,TRUE)+4</f>
        <v>-38.5</v>
      </c>
      <c r="EI6">
        <f>(EE6-EG6)/(EH6-EG6)</f>
        <v>0.625</v>
      </c>
      <c r="EJ6" t="e">
        <f>VLOOKUP(EG6,$DX$3:$DZ$19,3,FALSE)</f>
        <v>#N/A</v>
      </c>
      <c r="EK6">
        <f>VLOOKUP(EH6,$DX$3:$DZ$19,3,FALSE)</f>
        <v>0.22</v>
      </c>
      <c r="EM6" s="66">
        <v>4</v>
      </c>
      <c r="EN6" s="67">
        <v>0.63</v>
      </c>
      <c r="EO6" s="67">
        <v>0.56999999999999995</v>
      </c>
      <c r="EP6" s="67">
        <v>0.54</v>
      </c>
      <c r="EQ6" s="67">
        <v>0.5</v>
      </c>
      <c r="ES6" s="8">
        <f>EN16/EN6-1</f>
        <v>0.22222222222222232</v>
      </c>
      <c r="ET6" s="8">
        <f t="shared" si="10"/>
        <v>0.19298245614035103</v>
      </c>
      <c r="EU6" s="8">
        <f t="shared" si="10"/>
        <v>0.35185185185185164</v>
      </c>
      <c r="EV6" s="8">
        <f t="shared" si="10"/>
        <v>0.58000000000000007</v>
      </c>
      <c r="EX6" t="s">
        <v>239</v>
      </c>
      <c r="FA6" s="62">
        <v>2</v>
      </c>
      <c r="FB6" s="70">
        <v>1E-3</v>
      </c>
      <c r="FC6" s="70">
        <v>4.0000000000000001E-3</v>
      </c>
      <c r="FD6" s="64">
        <v>0.02</v>
      </c>
      <c r="FE6" s="64">
        <v>0.03</v>
      </c>
      <c r="FF6" s="64">
        <v>0.01</v>
      </c>
      <c r="FH6" s="62">
        <v>7</v>
      </c>
      <c r="FI6" s="62">
        <v>176</v>
      </c>
      <c r="FJ6" s="64">
        <v>0.52</v>
      </c>
      <c r="FK6" s="64">
        <v>1.01</v>
      </c>
      <c r="FL6" s="64">
        <v>0.94</v>
      </c>
      <c r="FM6" s="62">
        <v>1.98</v>
      </c>
      <c r="FN6" s="62">
        <v>18</v>
      </c>
      <c r="FP6">
        <f>FP5+1</f>
        <v>9</v>
      </c>
      <c r="FQ6" s="7">
        <f>+FQ5-0.005</f>
        <v>0.55500000000000005</v>
      </c>
      <c r="FS6">
        <v>6</v>
      </c>
      <c r="FT6" s="6">
        <f t="shared" ref="FT6:FT12" si="23">FT5+0.025</f>
        <v>0.95000000000000007</v>
      </c>
      <c r="FW6" t="s">
        <v>31</v>
      </c>
      <c r="FX6" t="s">
        <v>31</v>
      </c>
      <c r="GC6">
        <v>6</v>
      </c>
      <c r="GD6" s="7">
        <v>1.4085177254342137E-2</v>
      </c>
      <c r="GE6" s="7">
        <v>2.9836417136302428E-2</v>
      </c>
      <c r="GF6" s="7">
        <v>4.9331679757475544E-2</v>
      </c>
      <c r="GG6" s="7">
        <v>6.7303005686433798E-2</v>
      </c>
      <c r="GI6">
        <v>5</v>
      </c>
      <c r="GJ6">
        <v>142</v>
      </c>
      <c r="GK6">
        <v>2</v>
      </c>
      <c r="GL6" s="28">
        <v>1.4084507042253521E-2</v>
      </c>
      <c r="GM6" s="28">
        <f>+GM2*1.95</f>
        <v>1.3079084004959702E-2</v>
      </c>
      <c r="GN6">
        <f>+GM6/GM$2</f>
        <v>1.95</v>
      </c>
      <c r="GP6" s="6">
        <f t="shared" si="11"/>
        <v>0.04</v>
      </c>
      <c r="GQ6" s="8">
        <f t="shared" si="2"/>
        <v>0.25743344606371199</v>
      </c>
      <c r="GR6">
        <f t="shared" si="3"/>
        <v>2.8844991406148166</v>
      </c>
      <c r="GS6">
        <v>10</v>
      </c>
      <c r="GT6">
        <f t="shared" si="4"/>
        <v>28.844991406148168</v>
      </c>
      <c r="GU6" s="8">
        <f t="shared" si="5"/>
        <v>0.25743344606371199</v>
      </c>
      <c r="GV6" s="8">
        <f t="shared" si="6"/>
        <v>0.04</v>
      </c>
      <c r="GX6" t="s">
        <v>470</v>
      </c>
      <c r="GY6" t="s">
        <v>471</v>
      </c>
      <c r="HA6" t="s">
        <v>472</v>
      </c>
      <c r="HB6" t="s">
        <v>473</v>
      </c>
      <c r="HD6">
        <v>0</v>
      </c>
      <c r="HE6" s="8">
        <v>0.5</v>
      </c>
    </row>
    <row r="7" spans="1:213" ht="26.25" thickBot="1">
      <c r="A7" s="19" t="s">
        <v>72</v>
      </c>
      <c r="B7" s="19" t="s">
        <v>73</v>
      </c>
      <c r="D7" t="s">
        <v>12</v>
      </c>
      <c r="E7" t="s">
        <v>74</v>
      </c>
      <c r="G7" s="19" t="s">
        <v>75</v>
      </c>
      <c r="H7" s="19" t="s">
        <v>73</v>
      </c>
      <c r="I7" s="19"/>
      <c r="J7" s="19" t="s">
        <v>76</v>
      </c>
      <c r="K7" s="19" t="s">
        <v>77</v>
      </c>
      <c r="L7" s="24" t="s">
        <v>78</v>
      </c>
      <c r="N7" s="20">
        <v>6</v>
      </c>
      <c r="O7" s="1">
        <v>5497</v>
      </c>
      <c r="P7" s="1">
        <v>6110</v>
      </c>
      <c r="Q7" s="1">
        <v>889</v>
      </c>
      <c r="R7" s="7">
        <f t="shared" si="7"/>
        <v>0.10819509779648427</v>
      </c>
      <c r="S7" s="89">
        <v>0.10819509779648427</v>
      </c>
      <c r="T7" s="1"/>
      <c r="U7" s="92"/>
      <c r="V7" s="93"/>
      <c r="W7" s="93" t="s">
        <v>161</v>
      </c>
      <c r="X7" s="93">
        <v>0</v>
      </c>
      <c r="Y7" s="93">
        <v>0</v>
      </c>
      <c r="Z7" s="94"/>
      <c r="AA7" s="112">
        <f t="shared" si="8"/>
        <v>5</v>
      </c>
      <c r="AB7" s="113"/>
      <c r="AC7">
        <v>9</v>
      </c>
      <c r="AD7">
        <v>1.72</v>
      </c>
      <c r="AE7" s="113"/>
      <c r="AF7" s="243"/>
      <c r="AH7" s="243">
        <f t="shared" si="0"/>
        <v>1.42</v>
      </c>
      <c r="AI7" s="245">
        <f t="shared" si="1"/>
        <v>1.42</v>
      </c>
      <c r="BB7" s="12">
        <v>0</v>
      </c>
      <c r="BF7" s="7">
        <v>0</v>
      </c>
      <c r="BG7" s="7"/>
      <c r="BH7">
        <f>BH6+1</f>
        <v>1</v>
      </c>
      <c r="BI7" s="7">
        <f t="shared" ref="BI7:BI70" si="24">IF(MOD(BH7*2,2)=1,AVERAGE(BI6,BI8),VLOOKUP(BH7,$BB:$BF,5,FALSE))</f>
        <v>2.5000000000000008E-2</v>
      </c>
      <c r="BJ7" s="7"/>
      <c r="BK7" s="7"/>
      <c r="BM7" s="14" t="s">
        <v>153</v>
      </c>
      <c r="BN7" s="14">
        <v>2856</v>
      </c>
      <c r="BO7" s="38">
        <v>4.1000000000000002E-2</v>
      </c>
      <c r="BP7" s="38">
        <v>4.1000000000000002E-2</v>
      </c>
      <c r="BQ7" s="38">
        <v>4.2999999999999997E-2</v>
      </c>
      <c r="BS7" s="14" t="s">
        <v>153</v>
      </c>
      <c r="BT7" s="14">
        <v>37583</v>
      </c>
      <c r="BU7" s="15">
        <v>4.1200000000000001E-2</v>
      </c>
      <c r="BV7" s="15">
        <v>4.1500000000000002E-2</v>
      </c>
      <c r="BY7">
        <v>4</v>
      </c>
      <c r="CC7" s="17" t="e">
        <f t="shared" si="17"/>
        <v>#DIV/0!</v>
      </c>
      <c r="CE7" s="7">
        <f t="shared" si="12"/>
        <v>6.5000000000000002E-2</v>
      </c>
      <c r="CF7" s="39">
        <f t="shared" si="13"/>
        <v>4.7499999999999981E-3</v>
      </c>
      <c r="CH7">
        <f t="shared" ref="CH7:CH18" si="25">CI7</f>
        <v>18</v>
      </c>
      <c r="CI7" s="14">
        <v>18</v>
      </c>
      <c r="CJ7" s="14">
        <v>792</v>
      </c>
      <c r="CK7" s="14">
        <v>440</v>
      </c>
      <c r="CL7" s="14">
        <v>265</v>
      </c>
      <c r="CM7" s="17">
        <v>0.64</v>
      </c>
      <c r="CN7" s="38">
        <f t="shared" si="18"/>
        <v>0.37588652482269502</v>
      </c>
      <c r="CO7" s="52">
        <v>0.34</v>
      </c>
      <c r="CP7" s="51"/>
      <c r="CQ7">
        <f t="shared" ref="CQ7:CQ20" si="26">CR7</f>
        <v>15</v>
      </c>
      <c r="CR7" s="14">
        <v>15</v>
      </c>
      <c r="CS7" s="14">
        <v>354</v>
      </c>
      <c r="CT7" s="14">
        <v>1162</v>
      </c>
      <c r="CU7" s="14">
        <v>274</v>
      </c>
      <c r="CV7" s="17">
        <v>0.77</v>
      </c>
      <c r="CW7" s="17">
        <v>0.44</v>
      </c>
      <c r="CX7" s="8">
        <f>CX6+1%</f>
        <v>0.44</v>
      </c>
      <c r="DA7" s="14">
        <v>-5</v>
      </c>
      <c r="DB7" s="15">
        <v>3.4000000000000002E-2</v>
      </c>
      <c r="DC7" s="55"/>
      <c r="DD7" s="55">
        <f t="shared" ref="DD7:DD22" si="27">+AVERAGE(DE7,DE8)-0.5</f>
        <v>-38.5</v>
      </c>
      <c r="DE7" s="14">
        <v>-40</v>
      </c>
      <c r="DF7" s="14">
        <v>0.54</v>
      </c>
      <c r="DH7" s="56">
        <f t="shared" ref="DH7:DH38" si="28">DH6+1</f>
        <v>-45</v>
      </c>
      <c r="DI7" s="57">
        <f t="shared" ref="DI7:DI70" si="29">DL7*DN7+DM7*(1-DL7)</f>
        <v>0.43112500000000004</v>
      </c>
      <c r="DJ7">
        <f t="shared" si="19"/>
        <v>-46.5</v>
      </c>
      <c r="DK7">
        <f t="shared" si="20"/>
        <v>-42.5</v>
      </c>
      <c r="DL7">
        <f t="shared" ref="DL7:DL70" si="30">(DH7-DJ7)/(DK7-DJ7)</f>
        <v>0.375</v>
      </c>
      <c r="DM7">
        <f t="shared" ref="DM7:DM70" si="31">VLOOKUP(DJ7,$DD$5:$DF$24,3,FALSE)</f>
        <v>0.40600000000000003</v>
      </c>
      <c r="DN7">
        <f t="shared" ref="DN7:DN70" si="32">VLOOKUP(DK7,$DD$5:$DF$24,3,FALSE)</f>
        <v>0.47299999999999998</v>
      </c>
      <c r="DO7" s="257"/>
      <c r="DP7">
        <f t="shared" ref="DP7:DP13" si="33">DP6+1</f>
        <v>4</v>
      </c>
      <c r="DQ7" s="257">
        <v>0.92500000000000004</v>
      </c>
      <c r="DR7" s="257">
        <f t="shared" si="14"/>
        <v>1.1125</v>
      </c>
      <c r="DS7" s="6">
        <f t="shared" si="15"/>
        <v>3.7</v>
      </c>
      <c r="DT7" s="6">
        <v>4.45</v>
      </c>
      <c r="DU7" t="str">
        <f t="shared" si="9"/>
        <v>4:3.7,</v>
      </c>
      <c r="DX7">
        <f t="shared" si="16"/>
        <v>-22.5</v>
      </c>
      <c r="DY7" s="62">
        <v>-24</v>
      </c>
      <c r="DZ7" s="64">
        <v>0.34</v>
      </c>
      <c r="EB7" s="62">
        <v>5</v>
      </c>
      <c r="EC7" s="64">
        <v>1.2</v>
      </c>
      <c r="EE7" s="56">
        <f t="shared" ref="EE7:EE70" si="34">EE6+1</f>
        <v>-39</v>
      </c>
      <c r="EF7" s="57">
        <f>EF8-(EF9-EF8)</f>
        <v>0.21625</v>
      </c>
      <c r="EG7">
        <f t="shared" si="21"/>
        <v>-42.5</v>
      </c>
      <c r="EH7">
        <f t="shared" si="22"/>
        <v>-38.5</v>
      </c>
      <c r="EI7">
        <f t="shared" ref="EI7:EI70" si="35">(EE7-EG7)/(EH7-EG7)</f>
        <v>0.875</v>
      </c>
      <c r="EJ7" t="e">
        <f t="shared" ref="EJ7:EJ70" si="36">VLOOKUP(EG7,$DX$3:$DZ$19,3,FALSE)</f>
        <v>#N/A</v>
      </c>
      <c r="EK7">
        <f t="shared" ref="EK7:EK70" si="37">VLOOKUP(EH7,$DX$3:$DZ$19,3,FALSE)</f>
        <v>0.22</v>
      </c>
      <c r="EM7" s="66">
        <v>8</v>
      </c>
      <c r="EN7" s="67">
        <v>0.63</v>
      </c>
      <c r="EO7" s="67">
        <v>0.59</v>
      </c>
      <c r="EP7" s="67">
        <v>0.59</v>
      </c>
      <c r="EQ7" s="67">
        <v>0.54</v>
      </c>
      <c r="ES7" s="8">
        <f>EN17/EN7-1</f>
        <v>0.23809523809523814</v>
      </c>
      <c r="ET7" s="8">
        <f t="shared" si="10"/>
        <v>0.13559322033898313</v>
      </c>
      <c r="EU7" s="8">
        <f t="shared" si="10"/>
        <v>0.18644067796610164</v>
      </c>
      <c r="EV7" s="8">
        <f t="shared" si="10"/>
        <v>0.40740740740740744</v>
      </c>
      <c r="EX7" t="s">
        <v>240</v>
      </c>
      <c r="FA7" s="62">
        <v>3</v>
      </c>
      <c r="FB7" s="70">
        <v>0</v>
      </c>
      <c r="FC7" s="70">
        <v>0</v>
      </c>
      <c r="FD7" s="70">
        <v>1E-3</v>
      </c>
      <c r="FE7" s="64">
        <v>0</v>
      </c>
      <c r="FF7" s="64">
        <v>0</v>
      </c>
      <c r="FH7" s="62">
        <v>8</v>
      </c>
      <c r="FI7" s="62">
        <v>193</v>
      </c>
      <c r="FJ7" s="64">
        <v>0.51</v>
      </c>
      <c r="FK7" s="64">
        <v>0.96</v>
      </c>
      <c r="FL7" s="64">
        <v>0.93</v>
      </c>
      <c r="FM7" s="62">
        <v>1.99</v>
      </c>
      <c r="FN7" s="62">
        <v>18.899999999999999</v>
      </c>
      <c r="FP7">
        <f t="shared" ref="FP7:FP19" si="38">FP6+1</f>
        <v>10</v>
      </c>
      <c r="FQ7" s="7">
        <f t="shared" ref="FQ7:FQ19" si="39">+FQ6-0.005</f>
        <v>0.55000000000000004</v>
      </c>
      <c r="FS7">
        <v>7</v>
      </c>
      <c r="FT7" s="6">
        <f t="shared" si="23"/>
        <v>0.97500000000000009</v>
      </c>
      <c r="FW7" t="s">
        <v>41</v>
      </c>
      <c r="FX7" t="s">
        <v>41</v>
      </c>
      <c r="GC7">
        <v>6.5</v>
      </c>
      <c r="GD7" s="7">
        <v>1.6564780122263853E-2</v>
      </c>
      <c r="GE7" s="7">
        <v>3.3019010213993109E-2</v>
      </c>
      <c r="GF7" s="7">
        <v>5.6380412895802444E-2</v>
      </c>
      <c r="GG7" s="7">
        <v>7.1622165570911042E-2</v>
      </c>
      <c r="GI7">
        <v>0</v>
      </c>
      <c r="GL7" s="28">
        <v>0</v>
      </c>
      <c r="GM7" s="28">
        <v>0</v>
      </c>
      <c r="GP7" s="6">
        <f t="shared" si="11"/>
        <v>0.05</v>
      </c>
      <c r="GQ7" s="8">
        <f t="shared" si="2"/>
        <v>0.27259828550900245</v>
      </c>
      <c r="GR7">
        <f t="shared" si="3"/>
        <v>2.6684016487219444</v>
      </c>
      <c r="GS7">
        <v>10</v>
      </c>
      <c r="GT7">
        <f t="shared" si="4"/>
        <v>26.684016487219449</v>
      </c>
      <c r="GU7" s="8">
        <f t="shared" si="5"/>
        <v>0.27259828550900239</v>
      </c>
      <c r="GV7" s="8">
        <f t="shared" si="6"/>
        <v>0.05</v>
      </c>
      <c r="GX7">
        <v>0</v>
      </c>
      <c r="GY7" s="8">
        <v>0.67883211678832112</v>
      </c>
      <c r="HA7">
        <v>0</v>
      </c>
      <c r="HB7">
        <v>1.0598355540330882</v>
      </c>
      <c r="HD7">
        <v>1</v>
      </c>
      <c r="HE7" s="8">
        <v>0.53</v>
      </c>
    </row>
    <row r="8" spans="1:213" ht="39.75" thickTop="1" thickBot="1">
      <c r="A8" s="20">
        <v>-99</v>
      </c>
      <c r="B8" s="25">
        <v>0</v>
      </c>
      <c r="D8">
        <v>0</v>
      </c>
      <c r="E8" s="8">
        <v>0</v>
      </c>
      <c r="G8" s="20">
        <v>2</v>
      </c>
      <c r="H8" s="26">
        <v>0</v>
      </c>
      <c r="I8" s="26"/>
      <c r="J8">
        <v>3</v>
      </c>
      <c r="K8">
        <v>0</v>
      </c>
      <c r="L8" s="6">
        <v>0</v>
      </c>
      <c r="N8" s="20">
        <v>7</v>
      </c>
      <c r="O8" s="1">
        <v>5823</v>
      </c>
      <c r="P8" s="1">
        <v>5753</v>
      </c>
      <c r="Q8" s="1">
        <v>1070</v>
      </c>
      <c r="R8" s="7">
        <f t="shared" si="7"/>
        <v>0.13779882724402345</v>
      </c>
      <c r="S8" s="89">
        <v>0.13779882724402345</v>
      </c>
      <c r="T8" s="1"/>
      <c r="U8" s="92" t="s">
        <v>79</v>
      </c>
      <c r="V8" s="93" t="s">
        <v>80</v>
      </c>
      <c r="W8" s="93" t="s">
        <v>81</v>
      </c>
      <c r="X8" s="93" t="s">
        <v>82</v>
      </c>
      <c r="Y8" s="93" t="s">
        <v>82</v>
      </c>
      <c r="Z8" s="94"/>
      <c r="AA8" s="112">
        <f t="shared" si="8"/>
        <v>6</v>
      </c>
      <c r="AB8" s="113"/>
      <c r="AC8">
        <v>10</v>
      </c>
      <c r="AD8" s="6">
        <v>1.77</v>
      </c>
      <c r="AE8" s="113"/>
      <c r="AF8" s="243"/>
      <c r="AH8" s="243">
        <f t="shared" si="0"/>
        <v>1.5</v>
      </c>
      <c r="AI8" s="245">
        <f t="shared" si="1"/>
        <v>1.5</v>
      </c>
      <c r="BB8">
        <v>1</v>
      </c>
      <c r="BF8" s="7">
        <f>BF9-0.5%</f>
        <v>2.5000000000000008E-2</v>
      </c>
      <c r="BG8" s="7"/>
      <c r="BH8">
        <f t="shared" ref="BH8:BH13" si="40">BH7+1</f>
        <v>2</v>
      </c>
      <c r="BI8" s="7">
        <f t="shared" si="24"/>
        <v>3.0000000000000009E-2</v>
      </c>
      <c r="BJ8" s="7"/>
      <c r="BK8" s="7"/>
      <c r="BM8" s="14" t="s">
        <v>154</v>
      </c>
      <c r="BN8" s="14">
        <v>17864</v>
      </c>
      <c r="BO8" s="38">
        <v>0.25900000000000001</v>
      </c>
      <c r="BP8" s="38">
        <v>0.255</v>
      </c>
      <c r="BQ8" s="38">
        <v>0.26300000000000001</v>
      </c>
      <c r="BS8" s="14" t="s">
        <v>164</v>
      </c>
      <c r="BT8" s="14">
        <v>5334</v>
      </c>
      <c r="BU8" s="15">
        <v>5.8999999999999999E-3</v>
      </c>
      <c r="BV8" s="14"/>
      <c r="BY8" s="14">
        <v>5</v>
      </c>
      <c r="BZ8" s="14">
        <v>20</v>
      </c>
      <c r="CA8" s="14">
        <v>1</v>
      </c>
      <c r="CB8" s="14">
        <v>0</v>
      </c>
      <c r="CC8" s="17">
        <f t="shared" si="17"/>
        <v>4.7619047619047616E-2</v>
      </c>
      <c r="CD8" s="15">
        <v>0</v>
      </c>
      <c r="CE8" s="7">
        <f t="shared" si="12"/>
        <v>0.08</v>
      </c>
      <c r="CF8" s="39">
        <f t="shared" si="13"/>
        <v>4.9999999999999984E-3</v>
      </c>
      <c r="CH8">
        <f t="shared" si="25"/>
        <v>19</v>
      </c>
      <c r="CI8" s="14">
        <v>19</v>
      </c>
      <c r="CJ8" s="14">
        <v>805</v>
      </c>
      <c r="CK8" s="14">
        <v>531</v>
      </c>
      <c r="CL8" s="14">
        <v>257</v>
      </c>
      <c r="CM8" s="17">
        <v>0.6</v>
      </c>
      <c r="CN8" s="38">
        <f t="shared" si="18"/>
        <v>0.32614213197969544</v>
      </c>
      <c r="CO8" s="52">
        <v>0.35</v>
      </c>
      <c r="CP8" s="51"/>
      <c r="CQ8">
        <f t="shared" si="26"/>
        <v>16</v>
      </c>
      <c r="CR8" s="14">
        <v>16</v>
      </c>
      <c r="CS8" s="14">
        <v>403</v>
      </c>
      <c r="CT8" s="14">
        <v>1413</v>
      </c>
      <c r="CU8" s="14">
        <v>338</v>
      </c>
      <c r="CV8" s="17">
        <v>0.78</v>
      </c>
      <c r="CW8" s="17">
        <v>0.46</v>
      </c>
      <c r="CX8" s="8">
        <f t="shared" ref="CX8:CX17" si="41">CX7+1%</f>
        <v>0.45</v>
      </c>
      <c r="DA8" s="14">
        <v>-4</v>
      </c>
      <c r="DB8" s="15">
        <v>6.8000000000000005E-2</v>
      </c>
      <c r="DC8" s="55"/>
      <c r="DD8" s="55">
        <f t="shared" si="27"/>
        <v>-34.5</v>
      </c>
      <c r="DE8" s="14">
        <v>-36</v>
      </c>
      <c r="DF8" s="14">
        <v>0.60699999999999998</v>
      </c>
      <c r="DH8" s="56">
        <f t="shared" si="28"/>
        <v>-44</v>
      </c>
      <c r="DI8" s="57">
        <f t="shared" si="29"/>
        <v>0.44787499999999997</v>
      </c>
      <c r="DJ8">
        <f t="shared" si="19"/>
        <v>-46.5</v>
      </c>
      <c r="DK8">
        <f t="shared" si="20"/>
        <v>-42.5</v>
      </c>
      <c r="DL8">
        <f t="shared" si="30"/>
        <v>0.625</v>
      </c>
      <c r="DM8">
        <f t="shared" si="31"/>
        <v>0.40600000000000003</v>
      </c>
      <c r="DN8">
        <f t="shared" si="32"/>
        <v>0.47299999999999998</v>
      </c>
      <c r="DO8" s="257"/>
      <c r="DP8">
        <f t="shared" si="33"/>
        <v>5</v>
      </c>
      <c r="DQ8" s="257">
        <v>0.90600000000000003</v>
      </c>
      <c r="DR8" s="257">
        <f t="shared" si="14"/>
        <v>1.1099999999999999</v>
      </c>
      <c r="DS8" s="6">
        <f t="shared" si="15"/>
        <v>4.53</v>
      </c>
      <c r="DT8" s="6">
        <v>5.55</v>
      </c>
      <c r="DU8" t="str">
        <f t="shared" si="9"/>
        <v>5:4.53,</v>
      </c>
      <c r="DX8">
        <f t="shared" si="16"/>
        <v>-18.5</v>
      </c>
      <c r="DY8" s="62">
        <v>-20</v>
      </c>
      <c r="DZ8" s="64">
        <v>0.38</v>
      </c>
      <c r="EB8" s="62">
        <v>5.5</v>
      </c>
      <c r="EC8" s="64">
        <v>1.1599999999999999</v>
      </c>
      <c r="EE8" s="56">
        <f t="shared" si="34"/>
        <v>-38</v>
      </c>
      <c r="EF8" s="57">
        <f t="shared" ref="EF8:EF70" si="42">EI8*EK8+EJ8*(1-EI8)</f>
        <v>0.22375</v>
      </c>
      <c r="EG8">
        <f t="shared" si="21"/>
        <v>-38.5</v>
      </c>
      <c r="EH8">
        <f t="shared" si="22"/>
        <v>-34.5</v>
      </c>
      <c r="EI8">
        <f t="shared" si="35"/>
        <v>0.125</v>
      </c>
      <c r="EJ8">
        <f t="shared" si="36"/>
        <v>0.22</v>
      </c>
      <c r="EK8">
        <f t="shared" si="37"/>
        <v>0.25</v>
      </c>
      <c r="EM8" s="66">
        <v>12</v>
      </c>
      <c r="EN8" s="67">
        <v>0.63</v>
      </c>
      <c r="EO8" s="67">
        <v>0.65</v>
      </c>
      <c r="EP8" s="67">
        <v>0.53</v>
      </c>
      <c r="EQ8" s="68"/>
      <c r="ES8" s="8">
        <f>EN18/EN8-1</f>
        <v>0.20634920634920628</v>
      </c>
      <c r="ET8" s="8">
        <f t="shared" si="10"/>
        <v>0.19999999999999996</v>
      </c>
      <c r="EU8" s="8">
        <f t="shared" si="10"/>
        <v>0.47169811320754707</v>
      </c>
      <c r="EV8" s="8" t="e">
        <f t="shared" si="10"/>
        <v>#DIV/0!</v>
      </c>
      <c r="FA8" s="62" t="s">
        <v>20</v>
      </c>
      <c r="FB8" s="64">
        <v>1</v>
      </c>
      <c r="FC8" s="64">
        <v>1</v>
      </c>
      <c r="FD8" s="64">
        <v>1</v>
      </c>
      <c r="FE8" s="64">
        <v>1</v>
      </c>
      <c r="FF8" s="64">
        <v>1</v>
      </c>
      <c r="FH8" s="62">
        <v>9</v>
      </c>
      <c r="FI8" s="62">
        <v>174</v>
      </c>
      <c r="FJ8" s="64">
        <v>0.51</v>
      </c>
      <c r="FK8" s="64">
        <v>0.75</v>
      </c>
      <c r="FL8" s="64">
        <v>0.72</v>
      </c>
      <c r="FM8" s="62">
        <v>2.02</v>
      </c>
      <c r="FN8" s="62">
        <v>19.2</v>
      </c>
      <c r="FP8">
        <f t="shared" si="38"/>
        <v>11</v>
      </c>
      <c r="FQ8" s="7">
        <f t="shared" si="39"/>
        <v>0.54500000000000004</v>
      </c>
      <c r="FS8">
        <v>8</v>
      </c>
      <c r="FT8" s="6">
        <f t="shared" si="23"/>
        <v>1</v>
      </c>
      <c r="FW8" t="s">
        <v>18</v>
      </c>
      <c r="FX8" t="s">
        <v>12</v>
      </c>
      <c r="GC8">
        <v>7</v>
      </c>
      <c r="GD8" s="7">
        <v>1.783906882591093E-2</v>
      </c>
      <c r="GE8" s="7">
        <v>3.534998241294407E-2</v>
      </c>
      <c r="GF8" s="7">
        <v>5.9962983876027352E-2</v>
      </c>
      <c r="GG8" s="7">
        <v>7.8311846038863972E-2</v>
      </c>
      <c r="GP8" s="6">
        <f t="shared" si="11"/>
        <v>0.06</v>
      </c>
      <c r="GQ8" s="8">
        <f t="shared" si="2"/>
        <v>0.28553315573090482</v>
      </c>
      <c r="GR8">
        <f t="shared" si="3"/>
        <v>2.502220249834771</v>
      </c>
      <c r="GS8">
        <v>10</v>
      </c>
      <c r="GT8">
        <f t="shared" si="4"/>
        <v>25.022202498347706</v>
      </c>
      <c r="GU8" s="8">
        <f t="shared" si="5"/>
        <v>0.28553315573090482</v>
      </c>
      <c r="GV8" s="8">
        <f t="shared" si="6"/>
        <v>6.0000000000000032E-2</v>
      </c>
      <c r="GX8">
        <v>0.75</v>
      </c>
      <c r="GY8" s="8">
        <v>0.61044176706827313</v>
      </c>
      <c r="HA8">
        <v>0.1</v>
      </c>
      <c r="HB8">
        <v>1.0532632991548712</v>
      </c>
      <c r="HD8">
        <v>2</v>
      </c>
      <c r="HE8" s="8">
        <v>0.56061153488341697</v>
      </c>
    </row>
    <row r="9" spans="1:213" ht="26.25" thickBot="1">
      <c r="A9" s="20">
        <v>-29</v>
      </c>
      <c r="B9" s="27">
        <v>0</v>
      </c>
      <c r="D9">
        <v>1</v>
      </c>
      <c r="E9" s="28">
        <v>6.4653156664068595E-2</v>
      </c>
      <c r="G9" s="20">
        <v>3</v>
      </c>
      <c r="H9" s="26">
        <v>0.23404255319148937</v>
      </c>
      <c r="I9" s="26"/>
      <c r="J9">
        <v>94</v>
      </c>
      <c r="K9">
        <v>22</v>
      </c>
      <c r="L9" s="6">
        <v>0.23404255319148937</v>
      </c>
      <c r="N9" s="20">
        <v>8</v>
      </c>
      <c r="O9" s="89">
        <v>0.16172457704202292</v>
      </c>
      <c r="P9" s="89">
        <v>0.16172457704202292</v>
      </c>
      <c r="Q9" s="89">
        <v>0.16172457704202292</v>
      </c>
      <c r="R9" s="7">
        <f t="shared" si="7"/>
        <v>0.16172457704202292</v>
      </c>
      <c r="S9" s="89">
        <v>0.16172457704202292</v>
      </c>
      <c r="T9" s="1"/>
      <c r="U9" s="92">
        <v>1</v>
      </c>
      <c r="V9" s="93">
        <v>0</v>
      </c>
      <c r="W9" s="93" t="s">
        <v>10</v>
      </c>
      <c r="X9" s="260">
        <v>9.5086402513527665E-2</v>
      </c>
      <c r="Y9" s="99">
        <v>0.1</v>
      </c>
      <c r="Z9" s="94"/>
      <c r="AA9" s="112">
        <f t="shared" si="8"/>
        <v>7</v>
      </c>
      <c r="AB9" s="113"/>
      <c r="AC9">
        <v>11</v>
      </c>
      <c r="AD9" s="6">
        <v>1.82</v>
      </c>
      <c r="AE9" s="113"/>
      <c r="AF9" s="243"/>
      <c r="AH9" s="243">
        <f>AD5</f>
        <v>1.58</v>
      </c>
      <c r="AI9" s="245">
        <f t="shared" si="1"/>
        <v>1.58</v>
      </c>
      <c r="AK9" t="s">
        <v>83</v>
      </c>
      <c r="AL9" t="s">
        <v>84</v>
      </c>
      <c r="AM9" t="s">
        <v>19</v>
      </c>
      <c r="AN9" t="s">
        <v>21</v>
      </c>
      <c r="AO9" t="s">
        <v>85</v>
      </c>
      <c r="AS9" t="s">
        <v>86</v>
      </c>
      <c r="AT9" t="s">
        <v>87</v>
      </c>
      <c r="AU9" t="s">
        <v>13</v>
      </c>
      <c r="AV9" t="s">
        <v>88</v>
      </c>
      <c r="AW9" t="s">
        <v>89</v>
      </c>
      <c r="AX9" t="s">
        <v>90</v>
      </c>
      <c r="AY9" t="s">
        <v>91</v>
      </c>
      <c r="BB9">
        <v>2</v>
      </c>
      <c r="BF9" s="7">
        <f>BF10-0.5%</f>
        <v>3.0000000000000009E-2</v>
      </c>
      <c r="BG9" s="7"/>
      <c r="BH9">
        <f t="shared" si="40"/>
        <v>3</v>
      </c>
      <c r="BI9" s="7">
        <f t="shared" si="24"/>
        <v>3.500000000000001E-2</v>
      </c>
      <c r="BJ9" s="7"/>
      <c r="BK9" s="7"/>
      <c r="BM9" s="14" t="s">
        <v>155</v>
      </c>
      <c r="BN9" s="14">
        <v>24609</v>
      </c>
      <c r="BO9" s="38">
        <v>0.35699999999999998</v>
      </c>
      <c r="BP9" s="38">
        <v>0.36</v>
      </c>
      <c r="BQ9" s="38">
        <v>0.371</v>
      </c>
      <c r="BS9" s="14" t="s">
        <v>154</v>
      </c>
      <c r="BT9" s="14">
        <v>232106</v>
      </c>
      <c r="BU9" s="15">
        <v>0.25469999999999998</v>
      </c>
      <c r="BV9" s="15">
        <v>0.25619999999999998</v>
      </c>
      <c r="BY9" s="14">
        <v>6</v>
      </c>
      <c r="BZ9" s="14">
        <v>26</v>
      </c>
      <c r="CA9" s="14">
        <v>5</v>
      </c>
      <c r="CB9" s="14">
        <v>0</v>
      </c>
      <c r="CC9" s="17">
        <f t="shared" si="17"/>
        <v>0.16129032258064516</v>
      </c>
      <c r="CD9" s="15">
        <v>0</v>
      </c>
      <c r="CE9" s="7">
        <f t="shared" si="12"/>
        <v>9.5000000000000001E-2</v>
      </c>
      <c r="CF9" s="39">
        <f t="shared" si="13"/>
        <v>5.2499999999999986E-3</v>
      </c>
      <c r="CH9">
        <f t="shared" si="25"/>
        <v>20</v>
      </c>
      <c r="CI9" s="14">
        <v>20</v>
      </c>
      <c r="CJ9" s="14">
        <v>1242</v>
      </c>
      <c r="CK9" s="14">
        <v>743</v>
      </c>
      <c r="CL9" s="14">
        <v>413</v>
      </c>
      <c r="CM9" s="17">
        <v>0.63</v>
      </c>
      <c r="CN9" s="38">
        <f t="shared" si="18"/>
        <v>0.35726643598615915</v>
      </c>
      <c r="CO9" s="52">
        <f>CO8+1.5%</f>
        <v>0.36499999999999999</v>
      </c>
      <c r="CP9" s="51"/>
      <c r="CQ9">
        <f t="shared" si="26"/>
        <v>17</v>
      </c>
      <c r="CR9" s="14">
        <v>17</v>
      </c>
      <c r="CS9" s="14">
        <v>601</v>
      </c>
      <c r="CT9" s="14">
        <v>2023</v>
      </c>
      <c r="CU9" s="14">
        <v>501</v>
      </c>
      <c r="CV9" s="17">
        <v>0.77</v>
      </c>
      <c r="CW9" s="17">
        <v>0.45</v>
      </c>
      <c r="CX9" s="8">
        <f t="shared" si="41"/>
        <v>0.46</v>
      </c>
      <c r="DA9" s="14">
        <v>-3</v>
      </c>
      <c r="DB9" s="15">
        <v>9.1999999999999998E-2</v>
      </c>
      <c r="DC9" s="55"/>
      <c r="DD9" s="55">
        <f t="shared" si="27"/>
        <v>-30.5</v>
      </c>
      <c r="DE9" s="14">
        <v>-32</v>
      </c>
      <c r="DF9" s="14">
        <v>0.67400000000000004</v>
      </c>
      <c r="DH9" s="56">
        <f t="shared" si="28"/>
        <v>-43</v>
      </c>
      <c r="DI9" s="57">
        <f t="shared" si="29"/>
        <v>0.46462500000000001</v>
      </c>
      <c r="DJ9">
        <f t="shared" si="19"/>
        <v>-46.5</v>
      </c>
      <c r="DK9">
        <f t="shared" si="20"/>
        <v>-42.5</v>
      </c>
      <c r="DL9">
        <f t="shared" si="30"/>
        <v>0.875</v>
      </c>
      <c r="DM9">
        <f t="shared" si="31"/>
        <v>0.40600000000000003</v>
      </c>
      <c r="DN9">
        <f t="shared" si="32"/>
        <v>0.47299999999999998</v>
      </c>
      <c r="DO9" s="257"/>
      <c r="DP9">
        <f t="shared" si="33"/>
        <v>6</v>
      </c>
      <c r="DQ9" s="257">
        <v>0.88800000000000001</v>
      </c>
      <c r="DR9" s="257">
        <f t="shared" si="14"/>
        <v>1.1083333333333334</v>
      </c>
      <c r="DS9" s="6">
        <f t="shared" si="15"/>
        <v>5.3280000000000003</v>
      </c>
      <c r="DT9" s="6">
        <v>6.65</v>
      </c>
      <c r="DU9" t="str">
        <f t="shared" si="9"/>
        <v>6:5.328,</v>
      </c>
      <c r="DX9">
        <f t="shared" si="16"/>
        <v>-14.5</v>
      </c>
      <c r="DY9" s="62">
        <v>-16</v>
      </c>
      <c r="DZ9" s="64">
        <v>0.41</v>
      </c>
      <c r="EB9" s="62">
        <v>6</v>
      </c>
      <c r="EC9" s="64">
        <v>1.1299999999999999</v>
      </c>
      <c r="EE9" s="56">
        <f t="shared" si="34"/>
        <v>-37</v>
      </c>
      <c r="EF9" s="57">
        <f t="shared" si="42"/>
        <v>0.23125000000000001</v>
      </c>
      <c r="EG9">
        <f t="shared" si="21"/>
        <v>-38.5</v>
      </c>
      <c r="EH9">
        <f t="shared" si="22"/>
        <v>-34.5</v>
      </c>
      <c r="EI9">
        <f t="shared" si="35"/>
        <v>0.375</v>
      </c>
      <c r="EJ9">
        <f t="shared" si="36"/>
        <v>0.22</v>
      </c>
      <c r="EK9">
        <f t="shared" si="37"/>
        <v>0.25</v>
      </c>
      <c r="FA9" s="62" t="s">
        <v>243</v>
      </c>
      <c r="FB9" s="64">
        <v>0.1</v>
      </c>
      <c r="FC9" s="64">
        <v>0.53</v>
      </c>
      <c r="FD9" s="64">
        <v>0.25</v>
      </c>
      <c r="FE9" s="64">
        <v>0.12</v>
      </c>
      <c r="FF9" s="64">
        <v>1</v>
      </c>
      <c r="FH9" s="62">
        <v>10</v>
      </c>
      <c r="FI9" s="62">
        <v>107</v>
      </c>
      <c r="FJ9" s="64">
        <v>0.54</v>
      </c>
      <c r="FK9" s="64">
        <v>0.88</v>
      </c>
      <c r="FL9" s="64">
        <v>0.74</v>
      </c>
      <c r="FM9" s="62">
        <v>1.79</v>
      </c>
      <c r="FN9" s="62">
        <v>19.8</v>
      </c>
      <c r="FP9">
        <f t="shared" si="38"/>
        <v>12</v>
      </c>
      <c r="FQ9" s="7">
        <f t="shared" si="39"/>
        <v>0.54</v>
      </c>
      <c r="FS9">
        <v>9</v>
      </c>
      <c r="FT9" s="6">
        <f t="shared" si="23"/>
        <v>1.0249999999999999</v>
      </c>
      <c r="GC9">
        <v>7.5</v>
      </c>
      <c r="GD9" s="7">
        <v>1.8879798615481436E-2</v>
      </c>
      <c r="GE9" s="7">
        <v>3.7731658221697786E-2</v>
      </c>
      <c r="GF9" s="7">
        <v>6.2813647233168304E-2</v>
      </c>
      <c r="GG9" s="7">
        <v>7.914186293963707E-2</v>
      </c>
      <c r="GP9" s="6">
        <f t="shared" si="11"/>
        <v>7.0000000000000007E-2</v>
      </c>
      <c r="GQ9" s="8">
        <f t="shared" si="2"/>
        <v>0.29687369104131656</v>
      </c>
      <c r="GR9">
        <f t="shared" si="3"/>
        <v>2.368435904483122</v>
      </c>
      <c r="GS9">
        <v>10</v>
      </c>
      <c r="GT9">
        <f t="shared" si="4"/>
        <v>23.684359044831218</v>
      </c>
      <c r="GU9" s="8">
        <f t="shared" si="5"/>
        <v>0.29687369104131656</v>
      </c>
      <c r="GV9" s="8">
        <f t="shared" si="6"/>
        <v>7.0000000000000048E-2</v>
      </c>
      <c r="GX9">
        <v>1</v>
      </c>
      <c r="GY9" s="8">
        <v>0.55282555282555279</v>
      </c>
      <c r="HA9">
        <v>0.2</v>
      </c>
      <c r="HB9">
        <v>1.0465656582082383</v>
      </c>
      <c r="HD9">
        <v>3</v>
      </c>
      <c r="HE9" s="8">
        <v>0.59909762578239911</v>
      </c>
    </row>
    <row r="10" spans="1:213" ht="26.25" thickBot="1">
      <c r="A10" s="20">
        <v>-28</v>
      </c>
      <c r="B10" s="27">
        <v>0</v>
      </c>
      <c r="D10">
        <v>2</v>
      </c>
      <c r="E10" s="28">
        <v>9.7225317584131943E-2</v>
      </c>
      <c r="G10" s="20">
        <v>4</v>
      </c>
      <c r="H10" s="26">
        <v>0.68370883882149047</v>
      </c>
      <c r="I10" s="26"/>
      <c r="J10">
        <v>1154</v>
      </c>
      <c r="K10">
        <v>789</v>
      </c>
      <c r="L10" s="6">
        <v>0.68370883882149047</v>
      </c>
      <c r="N10" s="20">
        <v>9</v>
      </c>
      <c r="O10" s="1">
        <v>6376</v>
      </c>
      <c r="P10" s="1">
        <v>5875</v>
      </c>
      <c r="Q10" s="1">
        <v>1443</v>
      </c>
      <c r="R10" s="7">
        <f t="shared" si="7"/>
        <v>0.18375407865361498</v>
      </c>
      <c r="S10" s="89">
        <v>0.18375407865361498</v>
      </c>
      <c r="T10" s="1"/>
      <c r="U10" s="92">
        <v>1</v>
      </c>
      <c r="V10" s="93">
        <v>1</v>
      </c>
      <c r="W10" s="93" t="s">
        <v>5</v>
      </c>
      <c r="X10" s="260">
        <v>6.4030647656064088E-2</v>
      </c>
      <c r="Y10" s="99">
        <v>0</v>
      </c>
      <c r="Z10" s="94"/>
      <c r="AA10" s="112">
        <v>8</v>
      </c>
      <c r="AB10" s="113"/>
      <c r="AC10">
        <v>12</v>
      </c>
      <c r="AD10" s="6">
        <v>1.8616768764920131</v>
      </c>
      <c r="AE10" s="113"/>
      <c r="AF10" s="243"/>
      <c r="AH10" s="243">
        <f t="shared" ref="AH10:AH27" si="43">AD6</f>
        <v>1.66</v>
      </c>
      <c r="AI10" s="245">
        <f t="shared" si="1"/>
        <v>1.66</v>
      </c>
      <c r="AK10" t="s">
        <v>92</v>
      </c>
      <c r="AL10" s="8">
        <v>0.27705627705627706</v>
      </c>
      <c r="AM10" s="8">
        <v>8.658008658008658E-3</v>
      </c>
      <c r="AN10" s="8">
        <v>0.11255411255411256</v>
      </c>
      <c r="AO10" s="8">
        <v>0.39826839826839827</v>
      </c>
      <c r="AR10">
        <v>0</v>
      </c>
      <c r="AS10" s="8">
        <v>0.23186528497409326</v>
      </c>
      <c r="AT10" s="8">
        <v>0.45161920896592167</v>
      </c>
      <c r="AU10">
        <v>64268</v>
      </c>
      <c r="AV10">
        <v>3860</v>
      </c>
      <c r="AW10">
        <v>15347</v>
      </c>
      <c r="AX10">
        <v>895</v>
      </c>
      <c r="AY10">
        <v>6931</v>
      </c>
      <c r="BB10">
        <v>3</v>
      </c>
      <c r="BF10" s="7">
        <f>BF11-0.5%</f>
        <v>3.500000000000001E-2</v>
      </c>
      <c r="BG10" s="7"/>
      <c r="BH10">
        <f t="shared" si="40"/>
        <v>4</v>
      </c>
      <c r="BI10" s="7">
        <f t="shared" si="24"/>
        <v>4.0000000000000008E-2</v>
      </c>
      <c r="BJ10" s="7"/>
      <c r="BK10" s="7"/>
      <c r="BM10" s="14" t="s">
        <v>156</v>
      </c>
      <c r="BN10" s="14">
        <v>17806</v>
      </c>
      <c r="BO10" s="38">
        <v>0.25800000000000001</v>
      </c>
      <c r="BP10" s="38">
        <v>0.255</v>
      </c>
      <c r="BQ10" s="38">
        <v>0.26300000000000001</v>
      </c>
      <c r="BS10" s="14" t="s">
        <v>155</v>
      </c>
      <c r="BT10" s="14">
        <v>327717</v>
      </c>
      <c r="BU10" s="15">
        <v>0.35959999999999998</v>
      </c>
      <c r="BV10" s="15">
        <v>0.36170000000000002</v>
      </c>
      <c r="BY10" s="14">
        <v>7</v>
      </c>
      <c r="BZ10" s="14">
        <v>82</v>
      </c>
      <c r="CA10" s="14">
        <v>5</v>
      </c>
      <c r="CB10" s="14">
        <v>0</v>
      </c>
      <c r="CC10" s="17">
        <f t="shared" si="17"/>
        <v>5.7471264367816091E-2</v>
      </c>
      <c r="CD10" s="15">
        <v>0</v>
      </c>
      <c r="CE10" s="7">
        <f t="shared" si="12"/>
        <v>0.11</v>
      </c>
      <c r="CF10" s="39">
        <f t="shared" si="13"/>
        <v>5.4999999999999988E-3</v>
      </c>
      <c r="CH10">
        <f t="shared" si="25"/>
        <v>21</v>
      </c>
      <c r="CI10" s="14">
        <v>21</v>
      </c>
      <c r="CJ10" s="14">
        <v>1636</v>
      </c>
      <c r="CK10" s="14">
        <v>980</v>
      </c>
      <c r="CL10" s="14">
        <v>552</v>
      </c>
      <c r="CM10" s="17">
        <v>0.63</v>
      </c>
      <c r="CN10" s="38">
        <f t="shared" si="18"/>
        <v>0.36031331592689297</v>
      </c>
      <c r="CO10" s="52">
        <f>CO9+0.5%</f>
        <v>0.37</v>
      </c>
      <c r="CP10" s="51"/>
      <c r="CQ10">
        <f t="shared" si="26"/>
        <v>18</v>
      </c>
      <c r="CR10" s="14">
        <v>18</v>
      </c>
      <c r="CS10" s="14">
        <v>818</v>
      </c>
      <c r="CT10" s="14">
        <v>2953</v>
      </c>
      <c r="CU10" s="14">
        <v>703</v>
      </c>
      <c r="CV10" s="17">
        <v>0.78</v>
      </c>
      <c r="CW10" s="17">
        <v>0.46</v>
      </c>
      <c r="CX10" s="8">
        <f t="shared" si="41"/>
        <v>0.47000000000000003</v>
      </c>
      <c r="DA10" s="14">
        <v>-2</v>
      </c>
      <c r="DB10" s="15">
        <v>0.14699999999999999</v>
      </c>
      <c r="DC10" s="55"/>
      <c r="DD10" s="55">
        <f t="shared" si="27"/>
        <v>-26.5</v>
      </c>
      <c r="DE10" s="14">
        <v>-28</v>
      </c>
      <c r="DF10" s="14">
        <v>0.74099999999999999</v>
      </c>
      <c r="DH10" s="56">
        <f t="shared" si="28"/>
        <v>-42</v>
      </c>
      <c r="DI10" s="57">
        <f t="shared" si="29"/>
        <v>0.481375</v>
      </c>
      <c r="DJ10">
        <f t="shared" si="19"/>
        <v>-42.5</v>
      </c>
      <c r="DK10">
        <f t="shared" si="20"/>
        <v>-38.5</v>
      </c>
      <c r="DL10">
        <f t="shared" si="30"/>
        <v>0.125</v>
      </c>
      <c r="DM10">
        <f t="shared" si="31"/>
        <v>0.47299999999999998</v>
      </c>
      <c r="DN10">
        <f t="shared" si="32"/>
        <v>0.54</v>
      </c>
      <c r="DO10" s="257"/>
      <c r="DP10">
        <f t="shared" si="33"/>
        <v>7</v>
      </c>
      <c r="DQ10" s="257">
        <v>0.87</v>
      </c>
      <c r="DR10" s="257">
        <f t="shared" si="14"/>
        <v>1.1071428571428572</v>
      </c>
      <c r="DS10" s="6">
        <f t="shared" si="15"/>
        <v>6.09</v>
      </c>
      <c r="DT10" s="6">
        <v>7.75</v>
      </c>
      <c r="DU10" t="str">
        <f t="shared" si="9"/>
        <v>7:6.09,</v>
      </c>
      <c r="DX10">
        <f t="shared" si="16"/>
        <v>-10.5</v>
      </c>
      <c r="DY10" s="62">
        <v>-12</v>
      </c>
      <c r="DZ10" s="64">
        <v>0.45</v>
      </c>
      <c r="EB10" s="62">
        <v>6.5</v>
      </c>
      <c r="EC10" s="64">
        <v>1.1000000000000001</v>
      </c>
      <c r="EE10" s="56">
        <f t="shared" si="34"/>
        <v>-36</v>
      </c>
      <c r="EF10" s="57">
        <f t="shared" si="42"/>
        <v>0.23875000000000002</v>
      </c>
      <c r="EG10">
        <f t="shared" si="21"/>
        <v>-38.5</v>
      </c>
      <c r="EH10">
        <f t="shared" si="22"/>
        <v>-34.5</v>
      </c>
      <c r="EI10">
        <f t="shared" si="35"/>
        <v>0.625</v>
      </c>
      <c r="EJ10">
        <f t="shared" si="36"/>
        <v>0.22</v>
      </c>
      <c r="EK10">
        <f t="shared" si="37"/>
        <v>0.25</v>
      </c>
      <c r="FA10" s="62" t="s">
        <v>244</v>
      </c>
      <c r="FB10" s="71">
        <v>4.2000000000000003E-2</v>
      </c>
      <c r="FC10" s="71">
        <v>9.7000000000000003E-2</v>
      </c>
      <c r="FD10" s="71">
        <v>0.20300000000000001</v>
      </c>
      <c r="FE10" s="71">
        <v>0.29199999999999998</v>
      </c>
      <c r="FF10" s="71">
        <v>0.14099999999999999</v>
      </c>
      <c r="FH10" s="62" t="s">
        <v>264</v>
      </c>
      <c r="FI10" s="62">
        <v>125</v>
      </c>
      <c r="FJ10" s="64">
        <v>0.55000000000000004</v>
      </c>
      <c r="FK10" s="64">
        <v>0.82</v>
      </c>
      <c r="FL10" s="64">
        <v>0.66</v>
      </c>
      <c r="FM10" s="62">
        <v>1.73</v>
      </c>
      <c r="FN10" s="62">
        <v>19.8</v>
      </c>
      <c r="FP10">
        <f t="shared" si="38"/>
        <v>13</v>
      </c>
      <c r="FQ10" s="7">
        <f t="shared" si="39"/>
        <v>0.53500000000000003</v>
      </c>
      <c r="FS10">
        <v>10</v>
      </c>
      <c r="FT10" s="6">
        <f t="shared" si="23"/>
        <v>1.0499999999999998</v>
      </c>
      <c r="GC10">
        <v>8</v>
      </c>
      <c r="GD10" s="7">
        <v>2.002779883750316E-2</v>
      </c>
      <c r="GE10" s="7">
        <v>3.9994422730073628E-2</v>
      </c>
      <c r="GF10" s="7">
        <v>6.7048927595813157E-2</v>
      </c>
      <c r="GG10" s="7">
        <v>8.2770099868859068E-2</v>
      </c>
      <c r="GP10" s="6">
        <f t="shared" si="11"/>
        <v>0.08</v>
      </c>
      <c r="GQ10" s="8">
        <f t="shared" si="2"/>
        <v>0.307014163685428</v>
      </c>
      <c r="GR10">
        <f t="shared" si="3"/>
        <v>2.2571787177370006</v>
      </c>
      <c r="GS10">
        <v>10</v>
      </c>
      <c r="GT10">
        <f t="shared" si="4"/>
        <v>22.571787177370005</v>
      </c>
      <c r="GU10" s="8">
        <f t="shared" si="5"/>
        <v>0.307014163685428</v>
      </c>
      <c r="GV10" s="8">
        <f t="shared" si="6"/>
        <v>8.0000000000000016E-2</v>
      </c>
      <c r="GX10">
        <v>1.25</v>
      </c>
      <c r="GY10" s="8">
        <v>0.46581196581196582</v>
      </c>
      <c r="HA10">
        <v>0.30000000000000004</v>
      </c>
      <c r="HB10">
        <v>1.0397369034694903</v>
      </c>
      <c r="HD10">
        <v>4</v>
      </c>
      <c r="HE10" s="8">
        <v>0.63577778756888792</v>
      </c>
    </row>
    <row r="11" spans="1:213" ht="26.25" thickBot="1">
      <c r="A11" s="20">
        <v>-27</v>
      </c>
      <c r="B11" s="27">
        <v>0</v>
      </c>
      <c r="D11">
        <v>3</v>
      </c>
      <c r="E11" s="28">
        <v>0.13100436681222707</v>
      </c>
      <c r="G11" s="20">
        <v>5</v>
      </c>
      <c r="H11" s="26">
        <v>1.1436902262654538</v>
      </c>
      <c r="I11" s="26"/>
      <c r="J11">
        <v>4287</v>
      </c>
      <c r="K11">
        <v>4903</v>
      </c>
      <c r="L11" s="6">
        <v>1.1436902262654538</v>
      </c>
      <c r="N11" s="20">
        <v>10</v>
      </c>
      <c r="O11" s="1">
        <v>7680</v>
      </c>
      <c r="P11" s="1">
        <v>6394</v>
      </c>
      <c r="Q11" s="1">
        <v>1971</v>
      </c>
      <c r="R11" s="7">
        <f t="shared" si="7"/>
        <v>0.22631744040150564</v>
      </c>
      <c r="S11" s="89">
        <v>0.22631744040150564</v>
      </c>
      <c r="T11" s="1"/>
      <c r="U11" s="92">
        <v>1</v>
      </c>
      <c r="V11" s="93">
        <v>2</v>
      </c>
      <c r="W11" s="93" t="s">
        <v>7</v>
      </c>
      <c r="X11" s="260">
        <v>3.0925731607788273E-2</v>
      </c>
      <c r="Y11" s="99">
        <v>0</v>
      </c>
      <c r="Z11" s="94"/>
      <c r="AA11" s="112">
        <f>+AA10+1</f>
        <v>9</v>
      </c>
      <c r="AB11" s="113">
        <v>1.7480792775366667</v>
      </c>
      <c r="AC11">
        <v>13</v>
      </c>
      <c r="AD11" s="6">
        <v>1.9</v>
      </c>
      <c r="AE11" s="113"/>
      <c r="AF11" s="243"/>
      <c r="AG11" s="243"/>
      <c r="AH11" s="243">
        <f t="shared" si="43"/>
        <v>1.72</v>
      </c>
      <c r="AI11" s="245">
        <f t="shared" si="1"/>
        <v>1.72</v>
      </c>
      <c r="AK11" t="s">
        <v>93</v>
      </c>
      <c r="AL11" s="8">
        <v>8.1367521367521359E-2</v>
      </c>
      <c r="AM11" s="8">
        <v>2.5982905982905979E-2</v>
      </c>
      <c r="AN11" s="8">
        <v>6.9059829059829048E-2</v>
      </c>
      <c r="AO11" s="8">
        <v>0.17641025641025637</v>
      </c>
      <c r="AR11">
        <v>5</v>
      </c>
      <c r="AS11" s="8">
        <v>0.24151857835218093</v>
      </c>
      <c r="AT11" s="8">
        <v>0.42438987872435996</v>
      </c>
      <c r="AU11">
        <v>62180</v>
      </c>
      <c r="AV11">
        <v>4952</v>
      </c>
      <c r="AW11">
        <v>13358</v>
      </c>
      <c r="AX11">
        <v>1196</v>
      </c>
      <c r="AY11">
        <v>5669</v>
      </c>
      <c r="BB11">
        <v>4</v>
      </c>
      <c r="BF11" s="7">
        <f>BF12-0.5%</f>
        <v>4.0000000000000008E-2</v>
      </c>
      <c r="BG11" s="7"/>
      <c r="BH11">
        <f t="shared" si="40"/>
        <v>5</v>
      </c>
      <c r="BI11" s="7">
        <f t="shared" si="24"/>
        <v>4.5000000000000005E-2</v>
      </c>
      <c r="BJ11" s="7"/>
      <c r="BK11" s="7"/>
      <c r="BM11" s="14" t="s">
        <v>157</v>
      </c>
      <c r="BN11" s="14"/>
      <c r="BO11" s="14"/>
      <c r="BP11" s="38">
        <v>2.4E-2</v>
      </c>
      <c r="BQ11" s="43"/>
      <c r="BS11" s="14" t="s">
        <v>157</v>
      </c>
      <c r="BT11" s="14">
        <v>21919</v>
      </c>
      <c r="BU11" s="15">
        <v>2.41E-2</v>
      </c>
      <c r="BV11" s="15">
        <v>2.4199999999999999E-2</v>
      </c>
      <c r="BY11" s="14">
        <v>8</v>
      </c>
      <c r="BZ11" s="14">
        <v>129</v>
      </c>
      <c r="CA11" s="14">
        <v>13</v>
      </c>
      <c r="CB11" s="14">
        <v>1</v>
      </c>
      <c r="CC11" s="17">
        <f t="shared" si="17"/>
        <v>9.154929577464789E-2</v>
      </c>
      <c r="CD11" s="15">
        <v>8.0000000000000002E-3</v>
      </c>
      <c r="CE11" s="7">
        <f t="shared" si="12"/>
        <v>0.125</v>
      </c>
      <c r="CF11" s="39">
        <f t="shared" si="13"/>
        <v>5.749999999999999E-3</v>
      </c>
      <c r="CH11">
        <f t="shared" si="25"/>
        <v>22</v>
      </c>
      <c r="CI11" s="14">
        <v>22</v>
      </c>
      <c r="CJ11" s="14">
        <v>2091</v>
      </c>
      <c r="CK11" s="14">
        <v>1169</v>
      </c>
      <c r="CL11" s="14">
        <v>709</v>
      </c>
      <c r="CM11" s="17">
        <v>0.64</v>
      </c>
      <c r="CN11" s="38">
        <f t="shared" si="18"/>
        <v>0.37752928647497336</v>
      </c>
      <c r="CO11" s="52">
        <f t="shared" ref="CO11:CO19" si="44">CO10+0.5%</f>
        <v>0.375</v>
      </c>
      <c r="CP11" s="51"/>
      <c r="CQ11">
        <f t="shared" si="26"/>
        <v>19</v>
      </c>
      <c r="CR11" s="14">
        <v>19</v>
      </c>
      <c r="CS11" s="14">
        <v>787</v>
      </c>
      <c r="CT11" s="14">
        <v>2951</v>
      </c>
      <c r="CU11" s="14">
        <v>742</v>
      </c>
      <c r="CV11" s="17">
        <v>0.79</v>
      </c>
      <c r="CW11" s="17">
        <v>0.49</v>
      </c>
      <c r="CX11" s="8">
        <f t="shared" si="41"/>
        <v>0.48000000000000004</v>
      </c>
      <c r="DA11" s="14">
        <v>-1</v>
      </c>
      <c r="DB11" s="15">
        <v>0.25</v>
      </c>
      <c r="DC11" s="55"/>
      <c r="DD11" s="55">
        <f t="shared" si="27"/>
        <v>-22.5</v>
      </c>
      <c r="DE11" s="14">
        <v>-24</v>
      </c>
      <c r="DF11" s="14">
        <v>0.80600000000000005</v>
      </c>
      <c r="DH11" s="56">
        <f t="shared" si="28"/>
        <v>-41</v>
      </c>
      <c r="DI11" s="57">
        <f t="shared" si="29"/>
        <v>0.49812499999999998</v>
      </c>
      <c r="DJ11">
        <f t="shared" si="19"/>
        <v>-42.5</v>
      </c>
      <c r="DK11">
        <f t="shared" si="20"/>
        <v>-38.5</v>
      </c>
      <c r="DL11">
        <f t="shared" si="30"/>
        <v>0.375</v>
      </c>
      <c r="DM11">
        <f t="shared" si="31"/>
        <v>0.47299999999999998</v>
      </c>
      <c r="DN11">
        <f t="shared" si="32"/>
        <v>0.54</v>
      </c>
      <c r="DO11" s="257"/>
      <c r="DP11">
        <f t="shared" si="33"/>
        <v>8</v>
      </c>
      <c r="DQ11" s="257">
        <v>0.85199999999999998</v>
      </c>
      <c r="DR11" s="257">
        <f t="shared" si="14"/>
        <v>1.10625</v>
      </c>
      <c r="DS11" s="6">
        <f t="shared" si="15"/>
        <v>6.8159999999999998</v>
      </c>
      <c r="DT11" s="6">
        <v>8.85</v>
      </c>
      <c r="DU11" t="str">
        <f t="shared" si="9"/>
        <v>8:6.816,</v>
      </c>
      <c r="DX11">
        <f t="shared" si="16"/>
        <v>-6.5</v>
      </c>
      <c r="DY11" s="62">
        <v>-8</v>
      </c>
      <c r="DZ11" s="64">
        <v>0.49</v>
      </c>
      <c r="EB11" s="62">
        <v>7</v>
      </c>
      <c r="EC11" s="64">
        <v>1.06</v>
      </c>
      <c r="EE11" s="56">
        <f t="shared" si="34"/>
        <v>-35</v>
      </c>
      <c r="EF11" s="57">
        <f t="shared" si="42"/>
        <v>0.24625</v>
      </c>
      <c r="EG11">
        <f t="shared" si="21"/>
        <v>-38.5</v>
      </c>
      <c r="EH11">
        <f t="shared" si="22"/>
        <v>-34.5</v>
      </c>
      <c r="EI11">
        <f t="shared" si="35"/>
        <v>0.875</v>
      </c>
      <c r="EJ11">
        <f t="shared" si="36"/>
        <v>0.22</v>
      </c>
      <c r="EK11">
        <f t="shared" si="37"/>
        <v>0.25</v>
      </c>
      <c r="FP11">
        <f t="shared" si="38"/>
        <v>14</v>
      </c>
      <c r="FQ11" s="7">
        <f t="shared" si="39"/>
        <v>0.53</v>
      </c>
      <c r="FS11">
        <v>11</v>
      </c>
      <c r="FT11" s="6">
        <f t="shared" si="23"/>
        <v>1.0749999999999997</v>
      </c>
      <c r="GC11">
        <v>8.5</v>
      </c>
      <c r="GD11" s="7">
        <v>2.0784708743827235E-2</v>
      </c>
      <c r="GE11" s="7">
        <v>4.0727835176962317E-2</v>
      </c>
      <c r="GF11" s="7">
        <v>6.7526746381371933E-2</v>
      </c>
      <c r="GG11" s="7">
        <v>8.3507306889352817E-2</v>
      </c>
      <c r="GP11" s="6">
        <f t="shared" si="11"/>
        <v>0.09</v>
      </c>
      <c r="GQ11" s="8">
        <f t="shared" si="2"/>
        <v>0.31621706183880843</v>
      </c>
      <c r="GR11">
        <f t="shared" si="3"/>
        <v>2.1623847055721166</v>
      </c>
      <c r="GS11">
        <v>10</v>
      </c>
      <c r="GT11">
        <f t="shared" si="4"/>
        <v>21.623847055721164</v>
      </c>
      <c r="GU11" s="8">
        <f t="shared" si="5"/>
        <v>0.31621706183880843</v>
      </c>
      <c r="GV11" s="8">
        <f t="shared" si="6"/>
        <v>9.0000000000000038E-2</v>
      </c>
      <c r="GX11">
        <v>1.5</v>
      </c>
      <c r="GY11" s="8">
        <v>0.45127118644067798</v>
      </c>
      <c r="HA11">
        <v>0.4</v>
      </c>
      <c r="HB11">
        <v>1.0327708850043988</v>
      </c>
      <c r="HD11">
        <v>5</v>
      </c>
      <c r="HE11" s="8">
        <v>0.66609573233742181</v>
      </c>
    </row>
    <row r="12" spans="1:213" ht="27.75" thickBot="1">
      <c r="A12" s="20">
        <v>-26</v>
      </c>
      <c r="B12" s="27">
        <v>2.5641025641025641E-4</v>
      </c>
      <c r="G12" s="20">
        <v>6</v>
      </c>
      <c r="H12" s="26">
        <v>1.4091013034530071</v>
      </c>
      <c r="I12" s="26"/>
      <c r="J12">
        <v>4373</v>
      </c>
      <c r="K12">
        <v>6162</v>
      </c>
      <c r="L12" s="6">
        <v>1.4091013034530071</v>
      </c>
      <c r="N12" s="20">
        <v>11</v>
      </c>
      <c r="O12" s="1">
        <v>7841</v>
      </c>
      <c r="P12" s="1">
        <v>5891</v>
      </c>
      <c r="Q12" s="1">
        <v>2293</v>
      </c>
      <c r="R12" s="7">
        <f t="shared" si="7"/>
        <v>0.25664062500000001</v>
      </c>
      <c r="S12" s="89">
        <v>0.25664062500000001</v>
      </c>
      <c r="T12" s="1"/>
      <c r="U12" s="92">
        <v>1</v>
      </c>
      <c r="V12" s="93">
        <v>3</v>
      </c>
      <c r="W12" s="93" t="s">
        <v>6</v>
      </c>
      <c r="X12" s="260">
        <v>1.6020391634570391E-2</v>
      </c>
      <c r="Y12" s="99">
        <v>0</v>
      </c>
      <c r="Z12" s="94"/>
      <c r="AA12" s="112">
        <f t="shared" ref="AA12:AA33" si="45">+AA11+1</f>
        <v>10</v>
      </c>
      <c r="AB12" s="113">
        <v>1.7878601559409586</v>
      </c>
      <c r="AC12">
        <v>14</v>
      </c>
      <c r="AD12" s="6">
        <v>1.93</v>
      </c>
      <c r="AE12" s="113"/>
      <c r="AF12" s="243"/>
      <c r="AG12" s="243"/>
      <c r="AH12" s="243">
        <f t="shared" si="43"/>
        <v>1.77</v>
      </c>
      <c r="AI12" s="245">
        <f t="shared" si="1"/>
        <v>1.77</v>
      </c>
      <c r="AK12" t="s">
        <v>94</v>
      </c>
      <c r="AL12" s="8">
        <v>5.4788418708240534E-2</v>
      </c>
      <c r="AM12" s="8">
        <v>2.8062360801781736E-2</v>
      </c>
      <c r="AN12" s="8">
        <v>5.6792873051224942E-2</v>
      </c>
      <c r="AO12" s="8">
        <v>0.13964365256124722</v>
      </c>
      <c r="AR12">
        <v>10</v>
      </c>
      <c r="AS12" s="8">
        <v>0.27333292956211008</v>
      </c>
      <c r="AT12" s="8">
        <v>0.41195577282719248</v>
      </c>
      <c r="AU12">
        <v>154200</v>
      </c>
      <c r="AV12">
        <v>16511</v>
      </c>
      <c r="AW12">
        <v>30479</v>
      </c>
      <c r="AX12">
        <v>4513</v>
      </c>
      <c r="AY12">
        <v>12556</v>
      </c>
      <c r="BB12" s="12">
        <v>5</v>
      </c>
      <c r="BF12" s="7">
        <f>BF13-0.5%</f>
        <v>4.5000000000000005E-2</v>
      </c>
      <c r="BG12" s="7"/>
      <c r="BH12">
        <f t="shared" si="40"/>
        <v>6</v>
      </c>
      <c r="BI12" s="7">
        <f t="shared" si="24"/>
        <v>0.05</v>
      </c>
      <c r="BJ12" s="7"/>
      <c r="BK12" s="7"/>
      <c r="BS12" s="14" t="s">
        <v>156</v>
      </c>
      <c r="BT12" s="14">
        <v>232339</v>
      </c>
      <c r="BU12" s="15">
        <v>0.25490000000000002</v>
      </c>
      <c r="BV12" s="15">
        <v>0.25640000000000002</v>
      </c>
      <c r="BY12" s="14">
        <v>9</v>
      </c>
      <c r="BZ12" s="14">
        <v>85</v>
      </c>
      <c r="CA12" s="14">
        <v>15</v>
      </c>
      <c r="CB12" s="14">
        <v>0</v>
      </c>
      <c r="CC12" s="17">
        <f t="shared" si="17"/>
        <v>0.15</v>
      </c>
      <c r="CD12" s="15">
        <v>0</v>
      </c>
      <c r="CE12" s="7">
        <v>0.14000000000000001</v>
      </c>
      <c r="CF12" s="39">
        <f t="shared" si="13"/>
        <v>5.9999999999999993E-3</v>
      </c>
      <c r="CH12">
        <f t="shared" si="25"/>
        <v>23</v>
      </c>
      <c r="CI12" s="14">
        <v>23</v>
      </c>
      <c r="CJ12" s="14">
        <v>1932</v>
      </c>
      <c r="CK12" s="14">
        <v>1104</v>
      </c>
      <c r="CL12" s="14">
        <v>673</v>
      </c>
      <c r="CM12" s="17">
        <v>0.64</v>
      </c>
      <c r="CN12" s="38">
        <f t="shared" si="18"/>
        <v>0.37872819358469328</v>
      </c>
      <c r="CO12" s="52">
        <f t="shared" si="44"/>
        <v>0.38</v>
      </c>
      <c r="CP12" s="51"/>
      <c r="CQ12">
        <f t="shared" si="26"/>
        <v>20</v>
      </c>
      <c r="CR12" s="14">
        <v>20</v>
      </c>
      <c r="CS12" s="14">
        <v>945</v>
      </c>
      <c r="CT12" s="14">
        <v>3645</v>
      </c>
      <c r="CU12" s="14">
        <v>941</v>
      </c>
      <c r="CV12" s="17">
        <v>0.79</v>
      </c>
      <c r="CW12" s="17">
        <v>0.5</v>
      </c>
      <c r="CX12" s="8">
        <f t="shared" si="41"/>
        <v>0.49000000000000005</v>
      </c>
      <c r="DA12" s="14">
        <v>0</v>
      </c>
      <c r="DB12" s="15">
        <v>0.438</v>
      </c>
      <c r="DC12" s="55"/>
      <c r="DD12" s="55">
        <f t="shared" si="27"/>
        <v>-18.5</v>
      </c>
      <c r="DE12" s="14">
        <v>-20</v>
      </c>
      <c r="DF12" s="14">
        <v>0.90100000000000002</v>
      </c>
      <c r="DH12" s="56">
        <f t="shared" si="28"/>
        <v>-40</v>
      </c>
      <c r="DI12" s="57">
        <f t="shared" si="29"/>
        <v>0.51487499999999997</v>
      </c>
      <c r="DJ12">
        <f t="shared" si="19"/>
        <v>-42.5</v>
      </c>
      <c r="DK12">
        <f t="shared" si="20"/>
        <v>-38.5</v>
      </c>
      <c r="DL12">
        <f t="shared" si="30"/>
        <v>0.625</v>
      </c>
      <c r="DM12">
        <f t="shared" si="31"/>
        <v>0.47299999999999998</v>
      </c>
      <c r="DN12">
        <f t="shared" si="32"/>
        <v>0.54</v>
      </c>
      <c r="DO12" s="257"/>
      <c r="DP12">
        <f t="shared" si="33"/>
        <v>9</v>
      </c>
      <c r="DQ12" s="257">
        <v>0.83399999999999996</v>
      </c>
      <c r="DR12" s="257">
        <f t="shared" si="14"/>
        <v>1.1055555555555554</v>
      </c>
      <c r="DS12" s="6">
        <f t="shared" si="15"/>
        <v>7.5059999999999993</v>
      </c>
      <c r="DT12" s="6">
        <v>9.9499999999999993</v>
      </c>
      <c r="DU12" t="str">
        <f t="shared" si="9"/>
        <v>9:7.506,</v>
      </c>
      <c r="DX12">
        <f t="shared" si="16"/>
        <v>-2.5</v>
      </c>
      <c r="DY12" s="62">
        <v>-4</v>
      </c>
      <c r="DZ12" s="64">
        <v>0.52</v>
      </c>
      <c r="EB12" s="62">
        <v>7.5</v>
      </c>
      <c r="EC12" s="64">
        <v>1.02</v>
      </c>
      <c r="EE12" s="56">
        <f t="shared" si="34"/>
        <v>-34</v>
      </c>
      <c r="EF12" s="57">
        <f t="shared" si="42"/>
        <v>0.25375000000000003</v>
      </c>
      <c r="EG12">
        <f t="shared" si="21"/>
        <v>-34.5</v>
      </c>
      <c r="EH12">
        <f t="shared" si="22"/>
        <v>-30.5</v>
      </c>
      <c r="EI12">
        <f t="shared" si="35"/>
        <v>0.125</v>
      </c>
      <c r="EJ12">
        <f t="shared" si="36"/>
        <v>0.25</v>
      </c>
      <c r="EK12">
        <f t="shared" si="37"/>
        <v>0.28000000000000003</v>
      </c>
      <c r="FH12" s="63" t="s">
        <v>265</v>
      </c>
      <c r="FI12" s="63" t="s">
        <v>13</v>
      </c>
      <c r="FJ12" s="63" t="s">
        <v>258</v>
      </c>
      <c r="FK12" s="63" t="s">
        <v>259</v>
      </c>
      <c r="FL12" s="63" t="s">
        <v>260</v>
      </c>
      <c r="FM12" s="63" t="s">
        <v>261</v>
      </c>
      <c r="FN12" s="63" t="s">
        <v>266</v>
      </c>
      <c r="FP12">
        <f t="shared" si="38"/>
        <v>15</v>
      </c>
      <c r="FQ12" s="7">
        <f t="shared" si="39"/>
        <v>0.52500000000000002</v>
      </c>
      <c r="FS12">
        <v>12</v>
      </c>
      <c r="FT12" s="6">
        <f t="shared" si="23"/>
        <v>1.0999999999999996</v>
      </c>
      <c r="GC12">
        <v>9</v>
      </c>
      <c r="GD12" s="7">
        <v>1.9292250027560357E-2</v>
      </c>
      <c r="GE12" s="7">
        <v>4.155193427526746E-2</v>
      </c>
      <c r="GF12" s="7">
        <v>7.0504797663746344E-2</v>
      </c>
      <c r="GG12" s="7">
        <v>8.6744639376218319E-2</v>
      </c>
      <c r="GP12" s="6">
        <f t="shared" si="11"/>
        <v>0.1</v>
      </c>
      <c r="GQ12" s="8">
        <f>1/(1+GR12)</f>
        <v>0.32466648878703208</v>
      </c>
      <c r="GR12">
        <f>(1/GP12-1)^(1/3)</f>
        <v>2.0800838230519041</v>
      </c>
      <c r="GS12">
        <v>10</v>
      </c>
      <c r="GT12">
        <f>+GS12*(1-GQ12)/GQ12</f>
        <v>20.800838230519044</v>
      </c>
      <c r="GU12" s="8">
        <f>+GS12/(GT12+GS12)</f>
        <v>0.32466648878703208</v>
      </c>
      <c r="GV12" s="8">
        <f>+GS12^3/(GS12^3+GT12^3)</f>
        <v>9.9999999999999964E-2</v>
      </c>
      <c r="GX12">
        <v>1.75</v>
      </c>
      <c r="GY12" s="8">
        <v>0.33914728682170542</v>
      </c>
      <c r="HA12">
        <v>0.5</v>
      </c>
      <c r="HB12">
        <v>1.0256609870559033</v>
      </c>
      <c r="HD12">
        <v>6</v>
      </c>
      <c r="HE12" s="8">
        <v>0.70086370285192945</v>
      </c>
    </row>
    <row r="13" spans="1:213" ht="16.5" thickTop="1" thickBot="1">
      <c r="A13" s="20">
        <v>-25</v>
      </c>
      <c r="B13" s="27">
        <v>4.273504273504274E-4</v>
      </c>
      <c r="G13" s="20">
        <v>7</v>
      </c>
      <c r="H13" s="26">
        <v>1.7351648351648352</v>
      </c>
      <c r="I13" s="26"/>
      <c r="J13">
        <v>3640</v>
      </c>
      <c r="K13">
        <v>6316</v>
      </c>
      <c r="L13" s="6">
        <v>1.7351648351648352</v>
      </c>
      <c r="N13" s="20">
        <v>12</v>
      </c>
      <c r="O13" s="1">
        <v>8244</v>
      </c>
      <c r="P13" s="1">
        <v>5787</v>
      </c>
      <c r="Q13" s="1">
        <v>2771</v>
      </c>
      <c r="R13" s="7">
        <f t="shared" si="7"/>
        <v>0.29243718913403904</v>
      </c>
      <c r="S13" s="89">
        <v>0.29243718913403904</v>
      </c>
      <c r="T13" s="1"/>
      <c r="U13" s="92">
        <v>2</v>
      </c>
      <c r="V13" s="93">
        <v>0</v>
      </c>
      <c r="W13" s="93" t="s">
        <v>95</v>
      </c>
      <c r="X13" s="260">
        <f>+X9*1.52</f>
        <v>0.14453133182056205</v>
      </c>
      <c r="Y13" s="99">
        <v>0.16000000000000003</v>
      </c>
      <c r="Z13" s="94"/>
      <c r="AA13" s="112">
        <f t="shared" si="45"/>
        <v>11</v>
      </c>
      <c r="AB13" s="113">
        <v>1.8276410343452505</v>
      </c>
      <c r="AC13">
        <v>15</v>
      </c>
      <c r="AD13" s="6">
        <v>1.94</v>
      </c>
      <c r="AE13" s="113"/>
      <c r="AF13" s="243"/>
      <c r="AG13" s="243"/>
      <c r="AH13" s="243">
        <f t="shared" si="43"/>
        <v>1.82</v>
      </c>
      <c r="AI13" s="245">
        <f t="shared" si="1"/>
        <v>1.82</v>
      </c>
      <c r="AK13" t="s">
        <v>96</v>
      </c>
      <c r="AL13" s="8">
        <v>5.5757050830942456E-2</v>
      </c>
      <c r="AM13" s="8">
        <v>2.9123585773832079E-2</v>
      </c>
      <c r="AN13" s="8">
        <v>4.6554430790883991E-2</v>
      </c>
      <c r="AO13" s="8">
        <v>0.13143506739565852</v>
      </c>
      <c r="AR13">
        <v>15</v>
      </c>
      <c r="AS13" s="8">
        <v>0.30312954876273651</v>
      </c>
      <c r="AT13" s="8">
        <v>0.38527998968374222</v>
      </c>
      <c r="AU13">
        <v>170891</v>
      </c>
      <c r="AV13">
        <v>24732</v>
      </c>
      <c r="AW13">
        <v>31019</v>
      </c>
      <c r="AX13">
        <v>7497</v>
      </c>
      <c r="AY13">
        <v>11951</v>
      </c>
      <c r="BB13" s="14">
        <v>6</v>
      </c>
      <c r="BC13" s="14">
        <v>1</v>
      </c>
      <c r="BD13" s="14">
        <v>37</v>
      </c>
      <c r="BE13" s="38">
        <f>BC13/BD13</f>
        <v>2.7027027027027029E-2</v>
      </c>
      <c r="BF13" s="7">
        <v>0.05</v>
      </c>
      <c r="BG13" s="7"/>
      <c r="BH13">
        <f t="shared" si="40"/>
        <v>7</v>
      </c>
      <c r="BI13" s="7">
        <f t="shared" si="24"/>
        <v>7.0000000000000007E-2</v>
      </c>
      <c r="BJ13" s="7"/>
      <c r="BK13" s="7"/>
      <c r="BY13" s="14">
        <v>10</v>
      </c>
      <c r="BZ13" s="14">
        <v>186</v>
      </c>
      <c r="CA13" s="14">
        <v>30</v>
      </c>
      <c r="CB13" s="14">
        <v>1</v>
      </c>
      <c r="CC13" s="17">
        <f t="shared" si="17"/>
        <v>0.1388888888888889</v>
      </c>
      <c r="CD13" s="15">
        <v>5.0000000000000001E-3</v>
      </c>
      <c r="CE13" s="7">
        <v>0.15</v>
      </c>
      <c r="CF13" s="39">
        <f t="shared" si="13"/>
        <v>6.2499999999999995E-3</v>
      </c>
      <c r="CH13">
        <f t="shared" si="25"/>
        <v>24</v>
      </c>
      <c r="CI13" s="14">
        <v>24</v>
      </c>
      <c r="CJ13" s="14">
        <v>1989</v>
      </c>
      <c r="CK13" s="14">
        <v>1132</v>
      </c>
      <c r="CL13" s="14">
        <v>702</v>
      </c>
      <c r="CM13" s="17">
        <v>0.64</v>
      </c>
      <c r="CN13" s="38">
        <f t="shared" si="18"/>
        <v>0.38276990185387133</v>
      </c>
      <c r="CO13" s="52">
        <f t="shared" si="44"/>
        <v>0.38500000000000001</v>
      </c>
      <c r="CP13" s="51"/>
      <c r="CQ13">
        <f t="shared" si="26"/>
        <v>21</v>
      </c>
      <c r="CR13" s="14">
        <v>21</v>
      </c>
      <c r="CS13" s="14">
        <v>1081</v>
      </c>
      <c r="CT13" s="14">
        <v>4300</v>
      </c>
      <c r="CU13" s="14">
        <v>1126</v>
      </c>
      <c r="CV13" s="17">
        <v>0.8</v>
      </c>
      <c r="CW13" s="17">
        <v>0.51</v>
      </c>
      <c r="CX13" s="8">
        <f t="shared" si="41"/>
        <v>0.5</v>
      </c>
      <c r="DA13" s="14">
        <v>1</v>
      </c>
      <c r="DB13" s="15">
        <v>0.622</v>
      </c>
      <c r="DC13" s="55"/>
      <c r="DD13" s="55">
        <f t="shared" si="27"/>
        <v>-14.5</v>
      </c>
      <c r="DE13" s="14">
        <v>-16</v>
      </c>
      <c r="DF13" s="14">
        <v>0.91500000000000004</v>
      </c>
      <c r="DH13" s="56">
        <f t="shared" si="28"/>
        <v>-39</v>
      </c>
      <c r="DI13" s="57">
        <f t="shared" si="29"/>
        <v>0.53162500000000001</v>
      </c>
      <c r="DJ13">
        <f t="shared" si="19"/>
        <v>-42.5</v>
      </c>
      <c r="DK13">
        <f t="shared" si="20"/>
        <v>-38.5</v>
      </c>
      <c r="DL13">
        <f t="shared" si="30"/>
        <v>0.875</v>
      </c>
      <c r="DM13">
        <f t="shared" si="31"/>
        <v>0.47299999999999998</v>
      </c>
      <c r="DN13">
        <f t="shared" si="32"/>
        <v>0.54</v>
      </c>
      <c r="DO13" s="257"/>
      <c r="DP13">
        <f t="shared" si="33"/>
        <v>10</v>
      </c>
      <c r="DQ13" s="257">
        <v>0.81599999999999995</v>
      </c>
      <c r="DR13" s="257">
        <f t="shared" si="14"/>
        <v>1.105</v>
      </c>
      <c r="DS13" s="6">
        <f t="shared" si="15"/>
        <v>8.16</v>
      </c>
      <c r="DT13" s="6">
        <v>11.05</v>
      </c>
      <c r="DU13" t="str">
        <f t="shared" si="9"/>
        <v>10:8.16,</v>
      </c>
      <c r="DX13">
        <f t="shared" si="16"/>
        <v>1.5</v>
      </c>
      <c r="DY13" s="62">
        <v>0</v>
      </c>
      <c r="DZ13" s="64">
        <v>0.56000000000000005</v>
      </c>
      <c r="EB13" s="62">
        <v>8</v>
      </c>
      <c r="EC13" s="64">
        <v>1</v>
      </c>
      <c r="EE13" s="56">
        <f t="shared" si="34"/>
        <v>-33</v>
      </c>
      <c r="EF13" s="57">
        <f t="shared" si="42"/>
        <v>0.26124999999999998</v>
      </c>
      <c r="EG13">
        <f t="shared" si="21"/>
        <v>-34.5</v>
      </c>
      <c r="EH13">
        <f t="shared" si="22"/>
        <v>-30.5</v>
      </c>
      <c r="EI13">
        <f t="shared" si="35"/>
        <v>0.375</v>
      </c>
      <c r="EJ13">
        <f t="shared" si="36"/>
        <v>0.25</v>
      </c>
      <c r="EK13">
        <f t="shared" si="37"/>
        <v>0.28000000000000003</v>
      </c>
      <c r="EM13" s="65" t="s">
        <v>235</v>
      </c>
      <c r="EN13" s="65">
        <v>7</v>
      </c>
      <c r="EO13" s="65">
        <v>8</v>
      </c>
      <c r="EP13" s="65">
        <v>9</v>
      </c>
      <c r="EQ13" s="65">
        <v>10</v>
      </c>
      <c r="FH13" s="73" t="s">
        <v>272</v>
      </c>
      <c r="FI13" s="62">
        <v>888</v>
      </c>
      <c r="FJ13" s="64">
        <v>0.52</v>
      </c>
      <c r="FK13" s="64">
        <v>0.9</v>
      </c>
      <c r="FL13" s="64">
        <v>0.85</v>
      </c>
      <c r="FM13" s="62">
        <v>1.97</v>
      </c>
      <c r="FN13" s="62">
        <v>8.5</v>
      </c>
      <c r="FP13">
        <f t="shared" si="38"/>
        <v>16</v>
      </c>
      <c r="FQ13" s="7">
        <f t="shared" si="39"/>
        <v>0.52</v>
      </c>
      <c r="GC13">
        <v>9.5</v>
      </c>
      <c r="GD13" s="7">
        <v>2.338877338877339E-2</v>
      </c>
      <c r="GE13" s="7">
        <v>4.5896678435045753E-2</v>
      </c>
      <c r="GF13" s="7">
        <v>7.5516693163751994E-2</v>
      </c>
      <c r="GG13" s="7">
        <v>7.1097372488408042E-2</v>
      </c>
      <c r="GP13" s="6">
        <f t="shared" si="11"/>
        <v>0.11</v>
      </c>
      <c r="GQ13" s="8">
        <f t="shared" ref="GQ13:GQ76" si="46">1/(1+GR13)</f>
        <v>0.33249685533098533</v>
      </c>
      <c r="GR13">
        <f t="shared" ref="GR13:GR76" si="47">(1/GP13-1)^(1/3)</f>
        <v>2.0075472413251729</v>
      </c>
      <c r="GS13">
        <v>10</v>
      </c>
      <c r="GT13">
        <f t="shared" ref="GT13:GT76" si="48">+GS13*(1-GQ13)/GQ13</f>
        <v>20.075472413251727</v>
      </c>
      <c r="GU13" s="8">
        <f t="shared" ref="GU13:GU76" si="49">+GS13/(GT13+GS13)</f>
        <v>0.33249685533098533</v>
      </c>
      <c r="GV13" s="8">
        <f t="shared" ref="GV13:GV76" si="50">+GS13^3/(GS13^3+GT13^3)</f>
        <v>0.11000000000000003</v>
      </c>
      <c r="GX13">
        <v>2</v>
      </c>
      <c r="GY13" s="8">
        <v>0.30078125</v>
      </c>
      <c r="HA13">
        <v>0.6</v>
      </c>
      <c r="HB13">
        <v>1.0184000785634266</v>
      </c>
      <c r="HD13">
        <v>7</v>
      </c>
      <c r="HE13" s="8">
        <v>0.73156241641224751</v>
      </c>
    </row>
    <row r="14" spans="1:213" ht="15.75" thickBot="1">
      <c r="A14" s="20">
        <v>-24</v>
      </c>
      <c r="B14" s="27">
        <v>6.7299279897705105E-4</v>
      </c>
      <c r="G14" s="20">
        <v>8</v>
      </c>
      <c r="H14" s="26">
        <v>2.0843423799582466</v>
      </c>
      <c r="I14" s="26"/>
      <c r="J14">
        <v>2395</v>
      </c>
      <c r="K14">
        <v>4992</v>
      </c>
      <c r="L14" s="6">
        <v>2.0843423799582466</v>
      </c>
      <c r="N14" s="20">
        <v>13</v>
      </c>
      <c r="O14" s="1">
        <v>8906</v>
      </c>
      <c r="P14" s="1">
        <v>5782</v>
      </c>
      <c r="Q14" s="1">
        <v>3364</v>
      </c>
      <c r="R14" s="7">
        <f t="shared" si="7"/>
        <v>0.33612324114507519</v>
      </c>
      <c r="S14" s="89">
        <v>0.33612324114507519</v>
      </c>
      <c r="T14" s="1"/>
      <c r="U14" s="92">
        <v>2</v>
      </c>
      <c r="V14" s="93">
        <v>1</v>
      </c>
      <c r="W14" s="93" t="s">
        <v>11</v>
      </c>
      <c r="X14" s="260">
        <f>+X10*1.52</f>
        <v>9.7326584437217409E-2</v>
      </c>
      <c r="Y14" s="99">
        <v>0</v>
      </c>
      <c r="Z14" s="94"/>
      <c r="AA14" s="112">
        <f t="shared" si="45"/>
        <v>12</v>
      </c>
      <c r="AB14" s="113">
        <v>1.8674219127495424</v>
      </c>
      <c r="AC14">
        <v>16</v>
      </c>
      <c r="AD14" s="6">
        <v>1.95</v>
      </c>
      <c r="AE14" s="113"/>
      <c r="AF14" s="243"/>
      <c r="AG14" s="243"/>
      <c r="AH14" s="243">
        <v>1.86</v>
      </c>
      <c r="AI14" s="245">
        <f t="shared" si="1"/>
        <v>1.86</v>
      </c>
      <c r="AK14" t="s">
        <v>97</v>
      </c>
      <c r="AL14" s="8">
        <v>5.4059328649492588E-2</v>
      </c>
      <c r="AM14" s="8">
        <v>2.7257351027842835E-2</v>
      </c>
      <c r="AN14" s="8">
        <v>4.3976060369502995E-2</v>
      </c>
      <c r="AO14" s="8">
        <v>0.12529274004683844</v>
      </c>
      <c r="AR14">
        <v>20</v>
      </c>
      <c r="AS14" s="8">
        <v>0.34160338531099649</v>
      </c>
      <c r="AT14" s="8">
        <v>0.37475697211155379</v>
      </c>
      <c r="AU14">
        <v>189238</v>
      </c>
      <c r="AV14">
        <v>34502</v>
      </c>
      <c r="AW14">
        <v>31375</v>
      </c>
      <c r="AX14">
        <v>11786</v>
      </c>
      <c r="AY14">
        <v>11758</v>
      </c>
      <c r="BB14" s="14">
        <v>7</v>
      </c>
      <c r="BC14" s="14">
        <v>26</v>
      </c>
      <c r="BD14" s="14">
        <v>262</v>
      </c>
      <c r="BE14" s="38">
        <f>BC14/BD14</f>
        <v>9.9236641221374045E-2</v>
      </c>
      <c r="BF14" s="7">
        <v>7.0000000000000007E-2</v>
      </c>
      <c r="BG14" s="7"/>
      <c r="BH14">
        <f>BH13+0.5</f>
        <v>7.5</v>
      </c>
      <c r="BI14" s="7">
        <f t="shared" si="24"/>
        <v>0.08</v>
      </c>
      <c r="BJ14" s="7"/>
      <c r="BK14" s="7"/>
      <c r="BY14" s="14">
        <v>11</v>
      </c>
      <c r="BZ14" s="14">
        <v>307</v>
      </c>
      <c r="CA14" s="14">
        <v>61</v>
      </c>
      <c r="CB14" s="14">
        <v>2</v>
      </c>
      <c r="CC14" s="17">
        <f t="shared" si="17"/>
        <v>0.16576086956521738</v>
      </c>
      <c r="CD14" s="15">
        <v>6.0000000000000001E-3</v>
      </c>
      <c r="CE14" s="7">
        <v>0.16</v>
      </c>
      <c r="CF14" s="28">
        <v>6.4999999999999997E-3</v>
      </c>
      <c r="CH14">
        <f t="shared" si="25"/>
        <v>25</v>
      </c>
      <c r="CI14" s="14">
        <v>25</v>
      </c>
      <c r="CJ14" s="14">
        <v>1822</v>
      </c>
      <c r="CK14" s="14">
        <v>1034</v>
      </c>
      <c r="CL14" s="14">
        <v>634</v>
      </c>
      <c r="CM14" s="17">
        <v>0.64</v>
      </c>
      <c r="CN14" s="38">
        <f t="shared" si="18"/>
        <v>0.38009592326139091</v>
      </c>
      <c r="CO14" s="52">
        <f t="shared" si="44"/>
        <v>0.39</v>
      </c>
      <c r="CP14" s="51"/>
      <c r="CQ14">
        <f t="shared" si="26"/>
        <v>22</v>
      </c>
      <c r="CR14" s="14">
        <v>22</v>
      </c>
      <c r="CS14" s="14">
        <v>1090</v>
      </c>
      <c r="CT14" s="14">
        <v>4800</v>
      </c>
      <c r="CU14" s="14">
        <v>1300</v>
      </c>
      <c r="CV14" s="17">
        <v>0.81</v>
      </c>
      <c r="CW14" s="17">
        <v>0.54</v>
      </c>
      <c r="CX14" s="8">
        <f t="shared" si="41"/>
        <v>0.51</v>
      </c>
      <c r="DA14" s="14">
        <v>2</v>
      </c>
      <c r="DB14" s="15">
        <v>0.70299999999999996</v>
      </c>
      <c r="DC14" s="55"/>
      <c r="DD14" s="55">
        <f t="shared" si="27"/>
        <v>-10.5</v>
      </c>
      <c r="DE14" s="14">
        <v>-12</v>
      </c>
      <c r="DF14" s="14">
        <v>0.97699999999999998</v>
      </c>
      <c r="DH14" s="56">
        <f t="shared" si="28"/>
        <v>-38</v>
      </c>
      <c r="DI14" s="57">
        <f t="shared" si="29"/>
        <v>0.54837500000000006</v>
      </c>
      <c r="DJ14">
        <f t="shared" si="19"/>
        <v>-38.5</v>
      </c>
      <c r="DK14">
        <f t="shared" si="20"/>
        <v>-34.5</v>
      </c>
      <c r="DL14">
        <f t="shared" si="30"/>
        <v>0.125</v>
      </c>
      <c r="DM14">
        <f t="shared" si="31"/>
        <v>0.54</v>
      </c>
      <c r="DN14">
        <f t="shared" si="32"/>
        <v>0.60699999999999998</v>
      </c>
      <c r="DU14" t="str">
        <f t="shared" si="9"/>
        <v>:,</v>
      </c>
      <c r="DX14">
        <f t="shared" si="16"/>
        <v>5.5</v>
      </c>
      <c r="DY14" s="62">
        <v>4</v>
      </c>
      <c r="DZ14" s="64">
        <v>0.57999999999999996</v>
      </c>
      <c r="EB14" s="62">
        <v>8.5</v>
      </c>
      <c r="EC14" s="64">
        <v>0.98</v>
      </c>
      <c r="EE14" s="56">
        <f t="shared" si="34"/>
        <v>-32</v>
      </c>
      <c r="EF14" s="57">
        <f t="shared" si="42"/>
        <v>0.26875000000000004</v>
      </c>
      <c r="EG14">
        <f t="shared" si="21"/>
        <v>-34.5</v>
      </c>
      <c r="EH14">
        <f t="shared" si="22"/>
        <v>-30.5</v>
      </c>
      <c r="EI14">
        <f t="shared" si="35"/>
        <v>0.625</v>
      </c>
      <c r="EJ14">
        <f t="shared" si="36"/>
        <v>0.25</v>
      </c>
      <c r="EK14">
        <f t="shared" si="37"/>
        <v>0.28000000000000003</v>
      </c>
      <c r="EM14" s="66">
        <v>-4</v>
      </c>
      <c r="EN14" s="66"/>
      <c r="EO14" s="66"/>
      <c r="EP14" s="66"/>
      <c r="EQ14" s="67">
        <v>0.64</v>
      </c>
      <c r="FH14" s="74" t="s">
        <v>271</v>
      </c>
      <c r="FI14" s="62">
        <v>86</v>
      </c>
      <c r="FJ14" s="64">
        <v>0.63</v>
      </c>
      <c r="FK14" s="64">
        <v>0.72</v>
      </c>
      <c r="FL14" s="64">
        <v>0.42</v>
      </c>
      <c r="FM14" s="62">
        <v>1.49</v>
      </c>
      <c r="FN14" s="62">
        <v>7.7</v>
      </c>
      <c r="FP14">
        <f t="shared" si="38"/>
        <v>17</v>
      </c>
      <c r="FQ14" s="7">
        <f t="shared" si="39"/>
        <v>0.51500000000000001</v>
      </c>
      <c r="GP14" s="6">
        <f t="shared" si="11"/>
        <v>0.12</v>
      </c>
      <c r="GQ14" s="8">
        <f t="shared" si="46"/>
        <v>0.33980947196602035</v>
      </c>
      <c r="GR14">
        <f t="shared" si="47"/>
        <v>1.9428255610838185</v>
      </c>
      <c r="GS14">
        <v>10</v>
      </c>
      <c r="GT14">
        <f t="shared" si="48"/>
        <v>19.428255610838189</v>
      </c>
      <c r="GU14" s="8">
        <f t="shared" si="49"/>
        <v>0.33980947196602035</v>
      </c>
      <c r="GV14" s="8">
        <f t="shared" si="50"/>
        <v>0.11999999999999997</v>
      </c>
      <c r="GX14">
        <v>2.25</v>
      </c>
      <c r="GY14" s="8">
        <v>0.28375733855185908</v>
      </c>
      <c r="HA14">
        <v>0.7</v>
      </c>
      <c r="HB14">
        <v>1.0109804568299803</v>
      </c>
      <c r="HD14">
        <v>8</v>
      </c>
      <c r="HE14" s="8">
        <v>0.75830213007152014</v>
      </c>
    </row>
    <row r="15" spans="1:213" ht="15.75" thickBot="1">
      <c r="A15" s="20">
        <v>-23</v>
      </c>
      <c r="B15" s="27">
        <v>9.1863517060367453E-4</v>
      </c>
      <c r="G15" s="20">
        <v>9</v>
      </c>
      <c r="H15" s="26">
        <v>2.5191111111111111</v>
      </c>
      <c r="I15" s="26"/>
      <c r="J15">
        <v>1125</v>
      </c>
      <c r="K15">
        <v>2834</v>
      </c>
      <c r="L15" s="6">
        <v>2.5191111111111111</v>
      </c>
      <c r="N15" s="20">
        <v>14</v>
      </c>
      <c r="O15" s="1">
        <v>10967</v>
      </c>
      <c r="P15" s="1">
        <v>6832</v>
      </c>
      <c r="Q15" s="1">
        <v>4575</v>
      </c>
      <c r="R15" s="7">
        <f t="shared" si="7"/>
        <v>0.37772288344936</v>
      </c>
      <c r="S15" s="89">
        <v>0.37772288344936</v>
      </c>
      <c r="T15" s="1"/>
      <c r="U15" s="92">
        <v>2</v>
      </c>
      <c r="V15" s="93">
        <v>2</v>
      </c>
      <c r="W15" s="93" t="s">
        <v>98</v>
      </c>
      <c r="X15" s="260">
        <f>+X11*1.52</f>
        <v>4.7007112043838173E-2</v>
      </c>
      <c r="Y15" s="99">
        <v>0</v>
      </c>
      <c r="Z15" s="94"/>
      <c r="AA15" s="112">
        <f t="shared" si="45"/>
        <v>13</v>
      </c>
      <c r="AB15" s="113">
        <v>1.9072027911538341</v>
      </c>
      <c r="AC15">
        <v>17</v>
      </c>
      <c r="AD15" s="6">
        <v>1.96</v>
      </c>
      <c r="AE15" s="113"/>
      <c r="AF15" s="243"/>
      <c r="AG15" s="243"/>
      <c r="AH15" s="243">
        <f t="shared" si="43"/>
        <v>1.9</v>
      </c>
      <c r="AI15" s="245">
        <f t="shared" si="1"/>
        <v>1.9</v>
      </c>
      <c r="AK15" t="s">
        <v>99</v>
      </c>
      <c r="AL15" s="8">
        <v>5.0202215579391606E-2</v>
      </c>
      <c r="AM15" s="8">
        <v>3.2442412519781964E-2</v>
      </c>
      <c r="AN15" s="8">
        <v>4.6245823808686484E-2</v>
      </c>
      <c r="AO15" s="8">
        <v>0.12889045190786005</v>
      </c>
      <c r="AP15">
        <f>VLOOKUP((F10-F19)*4,lkup_simul!$EE:$EF,2,TRUE)*VLOOKUP(C20-IF(F13="Long Shots",5,0),lkup_simul!$EB:$EC,2,TRUE)</f>
        <v>0.74665000000000015</v>
      </c>
      <c r="AQ15">
        <f>VLOOKUP((F17-F12)*4,lkup_simul!$EE:$EF,2,TRUE)*VLOOKUP(C13-IF(F20="Long Shots",5,0),lkup_simul!$EB:$EC,2,TRUE)</f>
        <v>0.74665000000000015</v>
      </c>
      <c r="AR15">
        <v>25</v>
      </c>
      <c r="AS15" s="8">
        <v>0.37815126050420167</v>
      </c>
      <c r="AT15" s="8">
        <v>0.36301666305994373</v>
      </c>
      <c r="AU15">
        <v>59418</v>
      </c>
      <c r="AV15">
        <v>12257</v>
      </c>
      <c r="AW15">
        <v>9242</v>
      </c>
      <c r="AX15">
        <v>4635</v>
      </c>
      <c r="AY15">
        <v>3355</v>
      </c>
      <c r="BB15" s="14">
        <v>7.5</v>
      </c>
      <c r="BC15" s="14"/>
      <c r="BD15" s="14"/>
      <c r="BE15" s="38"/>
      <c r="BF15" s="7">
        <f>AVERAGE(BF14,BF16)</f>
        <v>0.08</v>
      </c>
      <c r="BG15" s="7"/>
      <c r="BH15">
        <f t="shared" ref="BH15:BH78" si="51">BH14+0.5</f>
        <v>8</v>
      </c>
      <c r="BI15" s="7">
        <f t="shared" si="24"/>
        <v>0.09</v>
      </c>
      <c r="BJ15" s="7"/>
      <c r="BK15" s="7"/>
      <c r="BY15" s="14">
        <v>12</v>
      </c>
      <c r="BZ15" s="14">
        <v>280</v>
      </c>
      <c r="CA15" s="14">
        <v>54</v>
      </c>
      <c r="CB15" s="14">
        <v>2</v>
      </c>
      <c r="CC15" s="17">
        <f t="shared" si="17"/>
        <v>0.16167664670658682</v>
      </c>
      <c r="CD15" s="15">
        <v>7.0000000000000001E-3</v>
      </c>
      <c r="CE15" s="7">
        <v>0.17</v>
      </c>
      <c r="CF15" s="49">
        <f>CF14+0.00025</f>
        <v>6.7499999999999999E-3</v>
      </c>
      <c r="CH15">
        <f t="shared" si="25"/>
        <v>26</v>
      </c>
      <c r="CI15" s="14">
        <v>26</v>
      </c>
      <c r="CJ15" s="14">
        <v>1546</v>
      </c>
      <c r="CK15" s="14">
        <v>836</v>
      </c>
      <c r="CL15" s="14">
        <v>539</v>
      </c>
      <c r="CM15" s="17">
        <v>0.65</v>
      </c>
      <c r="CN15" s="38">
        <f t="shared" si="18"/>
        <v>0.39200000000000002</v>
      </c>
      <c r="CO15" s="52">
        <f t="shared" si="44"/>
        <v>0.39500000000000002</v>
      </c>
      <c r="CP15" s="51"/>
      <c r="CQ15">
        <f t="shared" si="26"/>
        <v>23</v>
      </c>
      <c r="CR15" s="14">
        <v>23</v>
      </c>
      <c r="CS15" s="14">
        <v>863</v>
      </c>
      <c r="CT15" s="14">
        <v>3665</v>
      </c>
      <c r="CU15" s="14">
        <v>1001</v>
      </c>
      <c r="CV15" s="17">
        <v>0.81</v>
      </c>
      <c r="CW15" s="17">
        <v>0.54</v>
      </c>
      <c r="CX15" s="8">
        <f t="shared" si="41"/>
        <v>0.52</v>
      </c>
      <c r="DA15" s="14">
        <v>3</v>
      </c>
      <c r="DB15" s="15">
        <v>0.755</v>
      </c>
      <c r="DC15" s="55"/>
      <c r="DD15" s="55">
        <f t="shared" si="27"/>
        <v>-6.5</v>
      </c>
      <c r="DE15" s="14">
        <v>-8</v>
      </c>
      <c r="DF15" s="14">
        <v>1.0349999999999999</v>
      </c>
      <c r="DH15" s="56">
        <f t="shared" si="28"/>
        <v>-37</v>
      </c>
      <c r="DI15" s="57">
        <f t="shared" si="29"/>
        <v>0.56512499999999999</v>
      </c>
      <c r="DJ15">
        <f t="shared" si="19"/>
        <v>-38.5</v>
      </c>
      <c r="DK15">
        <f t="shared" si="20"/>
        <v>-34.5</v>
      </c>
      <c r="DL15">
        <f t="shared" si="30"/>
        <v>0.375</v>
      </c>
      <c r="DM15">
        <f t="shared" si="31"/>
        <v>0.54</v>
      </c>
      <c r="DN15">
        <f t="shared" si="32"/>
        <v>0.60699999999999998</v>
      </c>
      <c r="DX15">
        <f t="shared" si="16"/>
        <v>9.5</v>
      </c>
      <c r="DY15" s="62">
        <v>8</v>
      </c>
      <c r="DZ15" s="64">
        <v>0.6</v>
      </c>
      <c r="EB15" s="62">
        <v>9</v>
      </c>
      <c r="EC15" s="64">
        <v>0.96</v>
      </c>
      <c r="EE15" s="56">
        <f t="shared" si="34"/>
        <v>-31</v>
      </c>
      <c r="EF15" s="57">
        <f t="shared" si="42"/>
        <v>0.27625</v>
      </c>
      <c r="EG15">
        <f t="shared" si="21"/>
        <v>-34.5</v>
      </c>
      <c r="EH15">
        <f t="shared" si="22"/>
        <v>-30.5</v>
      </c>
      <c r="EI15">
        <f t="shared" si="35"/>
        <v>0.875</v>
      </c>
      <c r="EJ15">
        <f t="shared" si="36"/>
        <v>0.25</v>
      </c>
      <c r="EK15">
        <f t="shared" si="37"/>
        <v>0.28000000000000003</v>
      </c>
      <c r="EM15" s="66">
        <v>0</v>
      </c>
      <c r="EN15" s="66"/>
      <c r="EO15" s="67">
        <v>0.69</v>
      </c>
      <c r="EP15" s="67">
        <v>0.66</v>
      </c>
      <c r="EQ15" s="67">
        <v>0.75</v>
      </c>
      <c r="FH15" s="62" t="s">
        <v>267</v>
      </c>
      <c r="FI15" s="62">
        <v>192</v>
      </c>
      <c r="FJ15" s="64">
        <v>0.53</v>
      </c>
      <c r="FK15" s="64">
        <v>0.84</v>
      </c>
      <c r="FL15" s="64">
        <v>0.73</v>
      </c>
      <c r="FM15" s="62">
        <v>1.77</v>
      </c>
      <c r="FN15" s="62">
        <v>8.1</v>
      </c>
      <c r="FP15">
        <f t="shared" si="38"/>
        <v>18</v>
      </c>
      <c r="FQ15" s="7">
        <f t="shared" si="39"/>
        <v>0.51</v>
      </c>
      <c r="GD15" s="7"/>
      <c r="GE15" s="7"/>
      <c r="GF15" s="7"/>
      <c r="GG15" s="7"/>
      <c r="GP15" s="6">
        <f t="shared" si="11"/>
        <v>0.13</v>
      </c>
      <c r="GQ15" s="8">
        <f t="shared" si="46"/>
        <v>0.34668271124394601</v>
      </c>
      <c r="GR15">
        <f t="shared" si="47"/>
        <v>1.8844818837716486</v>
      </c>
      <c r="GS15">
        <v>10</v>
      </c>
      <c r="GT15">
        <f t="shared" si="48"/>
        <v>18.844818837716492</v>
      </c>
      <c r="GU15" s="8">
        <f t="shared" si="49"/>
        <v>0.34668271124394601</v>
      </c>
      <c r="GV15" s="8">
        <f t="shared" si="50"/>
        <v>0.12999999999999989</v>
      </c>
      <c r="GX15">
        <v>2.5</v>
      </c>
      <c r="GY15" s="8">
        <v>0.27176781002638523</v>
      </c>
      <c r="HA15">
        <v>0.79999999999999993</v>
      </c>
      <c r="HB15">
        <v>1.0033937831537705</v>
      </c>
      <c r="HD15">
        <v>9</v>
      </c>
      <c r="HE15" s="8">
        <v>0.77754943607759397</v>
      </c>
    </row>
    <row r="16" spans="1:213" ht="15.75" thickBot="1">
      <c r="A16" s="20">
        <v>-22</v>
      </c>
      <c r="B16" s="27">
        <v>1.312910284463895E-3</v>
      </c>
      <c r="G16" s="20">
        <v>10</v>
      </c>
      <c r="H16" s="26">
        <v>2.858565737051793</v>
      </c>
      <c r="I16" s="26"/>
      <c r="J16">
        <v>502</v>
      </c>
      <c r="K16">
        <v>1435</v>
      </c>
      <c r="L16" s="6">
        <v>2.858565737051793</v>
      </c>
      <c r="N16" s="20">
        <v>15</v>
      </c>
      <c r="O16" s="1">
        <v>11367</v>
      </c>
      <c r="P16" s="1">
        <v>6697</v>
      </c>
      <c r="Q16" s="1">
        <v>5268</v>
      </c>
      <c r="R16" s="7">
        <f>S16</f>
        <v>0.41716057262697182</v>
      </c>
      <c r="S16" s="89">
        <v>0.41716057262697182</v>
      </c>
      <c r="T16" s="1"/>
      <c r="U16" s="92">
        <v>2</v>
      </c>
      <c r="V16" s="93">
        <v>3</v>
      </c>
      <c r="W16" s="93" t="s">
        <v>8</v>
      </c>
      <c r="X16" s="260">
        <f>+X12*1.52</f>
        <v>2.4350995284546994E-2</v>
      </c>
      <c r="Y16" s="99">
        <v>0</v>
      </c>
      <c r="Z16" s="94"/>
      <c r="AA16" s="112">
        <f t="shared" si="45"/>
        <v>14</v>
      </c>
      <c r="AB16" s="113">
        <v>1.946983669558126</v>
      </c>
      <c r="AC16">
        <v>18</v>
      </c>
      <c r="AD16" s="6">
        <v>1.97</v>
      </c>
      <c r="AE16" s="113"/>
      <c r="AF16" s="243"/>
      <c r="AG16" s="243"/>
      <c r="AH16" s="243">
        <f t="shared" si="43"/>
        <v>1.93</v>
      </c>
      <c r="AI16" s="245">
        <f t="shared" si="1"/>
        <v>1.93</v>
      </c>
      <c r="AK16" t="s">
        <v>100</v>
      </c>
      <c r="AL16" s="8">
        <v>4.497560740377584E-2</v>
      </c>
      <c r="AM16" s="8">
        <v>3.16983194425468E-2</v>
      </c>
      <c r="AN16" s="8">
        <v>4.5200646182779719E-2</v>
      </c>
      <c r="AO16" s="8">
        <v>0.12187457302910236</v>
      </c>
      <c r="AR16">
        <v>30</v>
      </c>
      <c r="AS16" s="8" t="e">
        <v>#DIV/0!</v>
      </c>
      <c r="AT16" s="8" t="e">
        <v>#DIV/0!</v>
      </c>
      <c r="AU16">
        <v>0</v>
      </c>
      <c r="AV16">
        <v>0</v>
      </c>
      <c r="AW16">
        <v>0</v>
      </c>
      <c r="AX16">
        <v>0</v>
      </c>
      <c r="AY16">
        <v>0</v>
      </c>
      <c r="BB16" s="14">
        <v>8</v>
      </c>
      <c r="BC16" s="14">
        <v>32</v>
      </c>
      <c r="BD16" s="14">
        <v>482</v>
      </c>
      <c r="BE16" s="38">
        <f>BC16/BD16</f>
        <v>6.6390041493775934E-2</v>
      </c>
      <c r="BF16" s="7">
        <v>0.09</v>
      </c>
      <c r="BG16" s="7"/>
      <c r="BH16">
        <f t="shared" si="51"/>
        <v>8.5</v>
      </c>
      <c r="BI16" s="7">
        <f t="shared" si="24"/>
        <v>9.9429028815368192E-2</v>
      </c>
      <c r="BJ16" s="7"/>
      <c r="BK16" s="7"/>
      <c r="BY16" s="14">
        <v>13</v>
      </c>
      <c r="BZ16" s="14">
        <v>520</v>
      </c>
      <c r="CA16" s="14">
        <v>123</v>
      </c>
      <c r="CB16" s="14">
        <v>5</v>
      </c>
      <c r="CC16" s="17">
        <f t="shared" si="17"/>
        <v>0.19129082426127528</v>
      </c>
      <c r="CD16" s="15">
        <v>0.01</v>
      </c>
      <c r="CE16" s="7">
        <v>0.18</v>
      </c>
      <c r="CF16" s="49">
        <f t="shared" ref="CF16:CF32" si="52">CF15+0.00025</f>
        <v>7.0000000000000001E-3</v>
      </c>
      <c r="CH16">
        <f t="shared" si="25"/>
        <v>27</v>
      </c>
      <c r="CI16" s="14">
        <v>27</v>
      </c>
      <c r="CJ16" s="14">
        <v>1257</v>
      </c>
      <c r="CK16" s="14">
        <v>756</v>
      </c>
      <c r="CL16" s="14">
        <v>472</v>
      </c>
      <c r="CM16" s="17">
        <v>0.62</v>
      </c>
      <c r="CN16" s="38">
        <f t="shared" si="18"/>
        <v>0.38436482084690554</v>
      </c>
      <c r="CO16" s="52">
        <f t="shared" si="44"/>
        <v>0.4</v>
      </c>
      <c r="CP16" s="51"/>
      <c r="CQ16">
        <f t="shared" si="26"/>
        <v>24</v>
      </c>
      <c r="CR16" s="14">
        <v>24</v>
      </c>
      <c r="CS16" s="14">
        <v>708</v>
      </c>
      <c r="CT16" s="14">
        <v>2841</v>
      </c>
      <c r="CU16" s="14">
        <v>776</v>
      </c>
      <c r="CV16" s="17">
        <v>0.8</v>
      </c>
      <c r="CW16" s="17">
        <v>0.52</v>
      </c>
      <c r="CX16" s="8">
        <f t="shared" si="41"/>
        <v>0.53</v>
      </c>
      <c r="DA16" s="14">
        <v>4</v>
      </c>
      <c r="DB16" s="15">
        <v>0.80500000000000005</v>
      </c>
      <c r="DC16" s="55"/>
      <c r="DD16" s="55">
        <f t="shared" si="27"/>
        <v>-2.5</v>
      </c>
      <c r="DE16" s="14">
        <v>-4</v>
      </c>
      <c r="DF16" s="14">
        <v>1.054</v>
      </c>
      <c r="DH16" s="56">
        <f t="shared" si="28"/>
        <v>-36</v>
      </c>
      <c r="DI16" s="57">
        <f t="shared" si="29"/>
        <v>0.58187500000000003</v>
      </c>
      <c r="DJ16">
        <f t="shared" si="19"/>
        <v>-38.5</v>
      </c>
      <c r="DK16">
        <f t="shared" si="20"/>
        <v>-34.5</v>
      </c>
      <c r="DL16">
        <f t="shared" si="30"/>
        <v>0.625</v>
      </c>
      <c r="DM16">
        <f t="shared" si="31"/>
        <v>0.54</v>
      </c>
      <c r="DN16">
        <f t="shared" si="32"/>
        <v>0.60699999999999998</v>
      </c>
      <c r="DX16">
        <f t="shared" si="16"/>
        <v>13.5</v>
      </c>
      <c r="DY16" s="62">
        <v>12</v>
      </c>
      <c r="DZ16" s="64">
        <v>0.62</v>
      </c>
      <c r="EB16" s="62">
        <v>9.5</v>
      </c>
      <c r="EC16" s="64">
        <v>0.94</v>
      </c>
      <c r="EE16" s="56">
        <f t="shared" si="34"/>
        <v>-30</v>
      </c>
      <c r="EF16" s="57">
        <f t="shared" si="42"/>
        <v>0.28375</v>
      </c>
      <c r="EG16">
        <f t="shared" si="21"/>
        <v>-30.5</v>
      </c>
      <c r="EH16">
        <f t="shared" si="22"/>
        <v>-26.5</v>
      </c>
      <c r="EI16">
        <f t="shared" si="35"/>
        <v>0.125</v>
      </c>
      <c r="EJ16">
        <f t="shared" si="36"/>
        <v>0.28000000000000003</v>
      </c>
      <c r="EK16">
        <f t="shared" si="37"/>
        <v>0.31</v>
      </c>
      <c r="EM16" s="66">
        <v>4</v>
      </c>
      <c r="EN16" s="67">
        <v>0.77</v>
      </c>
      <c r="EO16" s="67">
        <v>0.68</v>
      </c>
      <c r="EP16" s="67">
        <v>0.73</v>
      </c>
      <c r="EQ16" s="67">
        <v>0.79</v>
      </c>
      <c r="FH16" s="62" t="s">
        <v>268</v>
      </c>
      <c r="FI16" s="62">
        <v>170</v>
      </c>
      <c r="FJ16" s="64">
        <v>0.5</v>
      </c>
      <c r="FK16" s="64">
        <v>0.88</v>
      </c>
      <c r="FL16" s="64">
        <v>0.88</v>
      </c>
      <c r="FM16" s="62">
        <v>2.0099999999999998</v>
      </c>
      <c r="FN16" s="62">
        <v>8.4</v>
      </c>
      <c r="FP16">
        <f t="shared" si="38"/>
        <v>19</v>
      </c>
      <c r="FQ16" s="7">
        <f t="shared" si="39"/>
        <v>0.505</v>
      </c>
      <c r="GP16" s="6">
        <f t="shared" si="11"/>
        <v>0.14000000000000001</v>
      </c>
      <c r="GQ16" s="8">
        <f t="shared" si="46"/>
        <v>0.3531785268017899</v>
      </c>
      <c r="GR16">
        <f t="shared" si="47"/>
        <v>1.831429218122363</v>
      </c>
      <c r="GS16">
        <v>10</v>
      </c>
      <c r="GT16">
        <f t="shared" si="48"/>
        <v>18.314292181223628</v>
      </c>
      <c r="GU16" s="8">
        <f t="shared" si="49"/>
        <v>0.3531785268017899</v>
      </c>
      <c r="GV16" s="8">
        <f t="shared" si="50"/>
        <v>0.1400000000000001</v>
      </c>
      <c r="GX16">
        <v>2.75</v>
      </c>
      <c r="GY16" s="8">
        <v>0.25842696629213485</v>
      </c>
      <c r="HA16">
        <v>0.89999999999999991</v>
      </c>
      <c r="HB16">
        <v>0.9956310089936885</v>
      </c>
      <c r="HD16">
        <v>10</v>
      </c>
      <c r="HE16" s="8">
        <v>0.8</v>
      </c>
    </row>
    <row r="17" spans="1:213" ht="15.75" thickBot="1">
      <c r="A17" s="20">
        <v>-21</v>
      </c>
      <c r="B17" s="27">
        <v>2.0318021201413427E-3</v>
      </c>
      <c r="G17" s="20">
        <v>11</v>
      </c>
      <c r="H17" s="26">
        <v>3.2480314960629921</v>
      </c>
      <c r="I17" s="26"/>
      <c r="J17">
        <v>254</v>
      </c>
      <c r="K17">
        <v>825</v>
      </c>
      <c r="L17" s="6">
        <v>3.2480314960629921</v>
      </c>
      <c r="N17" s="20">
        <v>16</v>
      </c>
      <c r="R17" s="89">
        <v>0.46344681974135654</v>
      </c>
      <c r="S17" s="89">
        <v>0.46344681974135654</v>
      </c>
      <c r="T17" s="1"/>
      <c r="U17" s="92">
        <v>3</v>
      </c>
      <c r="V17" s="93">
        <v>0</v>
      </c>
      <c r="W17" s="93" t="s">
        <v>101</v>
      </c>
      <c r="X17" s="260">
        <f>+X9*2</f>
        <v>0.19017280502705533</v>
      </c>
      <c r="Y17" s="99">
        <v>0.2</v>
      </c>
      <c r="Z17" s="94"/>
      <c r="AA17" s="112">
        <f t="shared" si="45"/>
        <v>15</v>
      </c>
      <c r="AB17" s="113">
        <v>1.9867645479624176</v>
      </c>
      <c r="AC17">
        <v>19</v>
      </c>
      <c r="AD17" s="6">
        <v>1.98</v>
      </c>
      <c r="AE17" s="113"/>
      <c r="AF17" s="243"/>
      <c r="AG17" s="243"/>
      <c r="AH17" s="243">
        <f t="shared" si="43"/>
        <v>1.94</v>
      </c>
      <c r="AI17" s="245">
        <f t="shared" si="1"/>
        <v>1.94</v>
      </c>
      <c r="AK17" t="s">
        <v>102</v>
      </c>
      <c r="AL17" s="8">
        <v>4.6366826156299848E-2</v>
      </c>
      <c r="AM17" s="8">
        <v>3.2357256778309418E-2</v>
      </c>
      <c r="AN17" s="8">
        <v>4.3023923444976082E-2</v>
      </c>
      <c r="AO17" s="8">
        <v>0.12174800637958536</v>
      </c>
      <c r="AR17">
        <v>35</v>
      </c>
      <c r="AS17" s="8">
        <v>0.40065511593828118</v>
      </c>
      <c r="AT17" s="8">
        <v>0.36806243805748268</v>
      </c>
      <c r="AU17">
        <v>55053</v>
      </c>
      <c r="AV17">
        <v>11601</v>
      </c>
      <c r="AW17">
        <v>8072</v>
      </c>
      <c r="AX17">
        <v>4648</v>
      </c>
      <c r="AY17">
        <v>2971</v>
      </c>
      <c r="BB17" s="14">
        <v>8.5</v>
      </c>
      <c r="BC17" s="14"/>
      <c r="BD17" s="14"/>
      <c r="BE17" s="38"/>
      <c r="BF17" s="7">
        <f>AVERAGE(BF16,BF18)</f>
        <v>9.9429028815368192E-2</v>
      </c>
      <c r="BG17" s="7"/>
      <c r="BH17">
        <f t="shared" si="51"/>
        <v>9</v>
      </c>
      <c r="BI17" s="7">
        <f t="shared" si="24"/>
        <v>0.10885805763073639</v>
      </c>
      <c r="BJ17" s="7"/>
      <c r="BK17" s="7"/>
      <c r="BY17" s="14">
        <v>14</v>
      </c>
      <c r="BZ17" s="14">
        <v>820</v>
      </c>
      <c r="CA17" s="14">
        <v>176</v>
      </c>
      <c r="CB17" s="14">
        <v>4</v>
      </c>
      <c r="CC17" s="38">
        <f t="shared" si="17"/>
        <v>0.17670682730923695</v>
      </c>
      <c r="CD17" s="15">
        <v>5.0000000000000001E-3</v>
      </c>
      <c r="CE17" s="7">
        <v>0.19</v>
      </c>
      <c r="CF17" s="49">
        <f t="shared" si="52"/>
        <v>7.2500000000000004E-3</v>
      </c>
      <c r="CH17">
        <f t="shared" si="25"/>
        <v>28</v>
      </c>
      <c r="CI17" s="14">
        <v>28</v>
      </c>
      <c r="CJ17" s="14">
        <v>1002</v>
      </c>
      <c r="CK17" s="14">
        <v>549</v>
      </c>
      <c r="CL17" s="14">
        <v>367</v>
      </c>
      <c r="CM17" s="17">
        <v>0.65</v>
      </c>
      <c r="CN17" s="38">
        <f t="shared" si="18"/>
        <v>0.40065502183406115</v>
      </c>
      <c r="CO17" s="52">
        <f t="shared" si="44"/>
        <v>0.40500000000000003</v>
      </c>
      <c r="CP17" s="51"/>
      <c r="CQ17">
        <f t="shared" si="26"/>
        <v>25</v>
      </c>
      <c r="CR17" s="14">
        <v>25</v>
      </c>
      <c r="CS17" s="14">
        <v>662</v>
      </c>
      <c r="CT17" s="14">
        <v>2595</v>
      </c>
      <c r="CU17" s="14">
        <v>702</v>
      </c>
      <c r="CV17" s="17">
        <v>0.8</v>
      </c>
      <c r="CW17" s="17">
        <v>0.51</v>
      </c>
      <c r="CX17" s="8">
        <f t="shared" si="41"/>
        <v>0.54</v>
      </c>
      <c r="DA17" s="14">
        <v>5</v>
      </c>
      <c r="DB17" s="15">
        <v>0.82399999999999995</v>
      </c>
      <c r="DC17" s="55"/>
      <c r="DD17" s="55">
        <f t="shared" si="27"/>
        <v>1.5</v>
      </c>
      <c r="DE17" s="14">
        <v>0</v>
      </c>
      <c r="DF17" s="14">
        <v>1.079</v>
      </c>
      <c r="DH17" s="56">
        <f t="shared" si="28"/>
        <v>-35</v>
      </c>
      <c r="DI17" s="57">
        <f t="shared" si="29"/>
        <v>0.59862499999999996</v>
      </c>
      <c r="DJ17">
        <f t="shared" si="19"/>
        <v>-38.5</v>
      </c>
      <c r="DK17">
        <f t="shared" si="20"/>
        <v>-34.5</v>
      </c>
      <c r="DL17">
        <f t="shared" si="30"/>
        <v>0.875</v>
      </c>
      <c r="DM17">
        <f t="shared" si="31"/>
        <v>0.54</v>
      </c>
      <c r="DN17">
        <f t="shared" si="32"/>
        <v>0.60699999999999998</v>
      </c>
      <c r="DX17">
        <f t="shared" si="16"/>
        <v>17.5</v>
      </c>
      <c r="DY17" s="62">
        <v>16</v>
      </c>
      <c r="DZ17" s="64">
        <v>0.64</v>
      </c>
      <c r="EB17" s="62">
        <v>10</v>
      </c>
      <c r="EC17" s="64">
        <v>0.92</v>
      </c>
      <c r="EE17" s="56">
        <f t="shared" si="34"/>
        <v>-29</v>
      </c>
      <c r="EF17" s="57">
        <f t="shared" si="42"/>
        <v>0.29125000000000001</v>
      </c>
      <c r="EG17">
        <f t="shared" si="21"/>
        <v>-30.5</v>
      </c>
      <c r="EH17">
        <f t="shared" si="22"/>
        <v>-26.5</v>
      </c>
      <c r="EI17">
        <f t="shared" si="35"/>
        <v>0.375</v>
      </c>
      <c r="EJ17">
        <f t="shared" si="36"/>
        <v>0.28000000000000003</v>
      </c>
      <c r="EK17">
        <f t="shared" si="37"/>
        <v>0.31</v>
      </c>
      <c r="EM17" s="66">
        <v>8</v>
      </c>
      <c r="EN17" s="67">
        <v>0.78</v>
      </c>
      <c r="EO17" s="67">
        <v>0.67</v>
      </c>
      <c r="EP17" s="67">
        <v>0.7</v>
      </c>
      <c r="EQ17" s="67">
        <v>0.76</v>
      </c>
      <c r="FH17" s="62" t="s">
        <v>269</v>
      </c>
      <c r="FI17" s="62">
        <v>220</v>
      </c>
      <c r="FJ17" s="64">
        <v>0.51</v>
      </c>
      <c r="FK17" s="64">
        <v>0.97</v>
      </c>
      <c r="FL17" s="64">
        <v>0.93</v>
      </c>
      <c r="FM17" s="62">
        <v>2.11</v>
      </c>
      <c r="FN17" s="62">
        <v>8.8000000000000007</v>
      </c>
      <c r="FP17">
        <f t="shared" si="38"/>
        <v>20</v>
      </c>
      <c r="FQ17" s="7">
        <f t="shared" si="39"/>
        <v>0.5</v>
      </c>
      <c r="GP17" s="6">
        <f t="shared" si="11"/>
        <v>0.15</v>
      </c>
      <c r="GQ17" s="8">
        <f t="shared" si="46"/>
        <v>0.35934679773618783</v>
      </c>
      <c r="GR17">
        <f t="shared" si="47"/>
        <v>1.7828270804131212</v>
      </c>
      <c r="GS17">
        <v>10</v>
      </c>
      <c r="GT17">
        <f t="shared" si="48"/>
        <v>17.828270804131215</v>
      </c>
      <c r="GU17" s="8">
        <f t="shared" si="49"/>
        <v>0.35934679773618783</v>
      </c>
      <c r="GV17" s="8">
        <f t="shared" si="50"/>
        <v>0.14999999999999994</v>
      </c>
      <c r="GX17">
        <v>3</v>
      </c>
      <c r="GY17" s="8">
        <v>0.23</v>
      </c>
      <c r="HA17">
        <v>0.99999999999999989</v>
      </c>
      <c r="HB17">
        <v>0.98768229092948556</v>
      </c>
      <c r="HD17">
        <v>11</v>
      </c>
      <c r="HE17" s="8">
        <v>0.81</v>
      </c>
    </row>
    <row r="18" spans="1:213" ht="15.75" thickBot="1">
      <c r="A18" s="20">
        <v>-20</v>
      </c>
      <c r="B18" s="27">
        <v>5.4021608643457387E-3</v>
      </c>
      <c r="G18" s="20">
        <v>12</v>
      </c>
      <c r="H18" s="26">
        <v>3.4382022471910112</v>
      </c>
      <c r="I18" s="26"/>
      <c r="J18">
        <v>89</v>
      </c>
      <c r="K18">
        <v>306</v>
      </c>
      <c r="L18" s="6">
        <v>3.4382022471910112</v>
      </c>
      <c r="N18" s="20">
        <v>17</v>
      </c>
      <c r="O18" s="1">
        <v>15522</v>
      </c>
      <c r="P18" s="1">
        <v>8580</v>
      </c>
      <c r="Q18" s="1">
        <v>8645</v>
      </c>
      <c r="R18" s="89">
        <v>0.55695142378559459</v>
      </c>
      <c r="S18" s="89">
        <v>0.55695142378559459</v>
      </c>
      <c r="T18" s="1"/>
      <c r="U18" s="92">
        <v>3</v>
      </c>
      <c r="V18" s="93">
        <v>1</v>
      </c>
      <c r="W18" s="93" t="s">
        <v>103</v>
      </c>
      <c r="X18" s="260">
        <f>+X10*2</f>
        <v>0.12806129531212818</v>
      </c>
      <c r="Y18" s="99">
        <v>0</v>
      </c>
      <c r="Z18" s="94"/>
      <c r="AA18" s="112">
        <f t="shared" si="45"/>
        <v>16</v>
      </c>
      <c r="AB18" s="113">
        <v>2.0265454263667095</v>
      </c>
      <c r="AC18">
        <v>20</v>
      </c>
      <c r="AD18" s="6">
        <v>1.99</v>
      </c>
      <c r="AE18" s="113"/>
      <c r="AF18" s="243"/>
      <c r="AG18" s="243"/>
      <c r="AH18" s="243">
        <f t="shared" si="43"/>
        <v>1.95</v>
      </c>
      <c r="AI18" s="245">
        <f t="shared" si="1"/>
        <v>1.95</v>
      </c>
      <c r="AK18" t="s">
        <v>104</v>
      </c>
      <c r="AL18" s="8">
        <v>4.607539610271353E-2</v>
      </c>
      <c r="AM18" s="8">
        <v>3.535077601732127E-2</v>
      </c>
      <c r="AN18" s="8">
        <v>4.386976668892531E-2</v>
      </c>
      <c r="AO18" s="8">
        <v>0.12529593880896012</v>
      </c>
      <c r="AR18">
        <v>40</v>
      </c>
      <c r="AS18" s="8" t="e">
        <v>#DIV/0!</v>
      </c>
      <c r="AT18" s="8" t="e">
        <v>#DIV/0!</v>
      </c>
      <c r="AU18">
        <v>0</v>
      </c>
      <c r="AV18">
        <v>0</v>
      </c>
      <c r="AW18">
        <v>0</v>
      </c>
      <c r="AX18">
        <v>0</v>
      </c>
      <c r="AY18">
        <v>0</v>
      </c>
      <c r="BB18" s="14">
        <v>9</v>
      </c>
      <c r="BC18" s="14">
        <v>102</v>
      </c>
      <c r="BD18" s="14">
        <v>937</v>
      </c>
      <c r="BE18" s="38">
        <f t="shared" ref="BE18:BE42" si="53">BC18/BD18</f>
        <v>0.10885805763073639</v>
      </c>
      <c r="BF18" s="7">
        <f>BE18</f>
        <v>0.10885805763073639</v>
      </c>
      <c r="BG18" s="7"/>
      <c r="BH18">
        <f t="shared" si="51"/>
        <v>9.5</v>
      </c>
      <c r="BI18" s="7">
        <f t="shared" si="24"/>
        <v>0.11969501004022291</v>
      </c>
      <c r="BJ18" s="7"/>
      <c r="BK18" s="7"/>
      <c r="BY18" s="14">
        <v>15</v>
      </c>
      <c r="BZ18" s="14">
        <v>1105</v>
      </c>
      <c r="CA18" s="14">
        <v>285</v>
      </c>
      <c r="CB18" s="14">
        <v>8</v>
      </c>
      <c r="CC18" s="38">
        <f t="shared" si="17"/>
        <v>0.20503597122302158</v>
      </c>
      <c r="CD18" s="15">
        <v>7.0000000000000001E-3</v>
      </c>
      <c r="CE18" s="7">
        <v>0.2</v>
      </c>
      <c r="CF18" s="49">
        <f t="shared" si="52"/>
        <v>7.5000000000000006E-3</v>
      </c>
      <c r="CH18">
        <f t="shared" si="25"/>
        <v>29</v>
      </c>
      <c r="CI18" s="14">
        <v>29</v>
      </c>
      <c r="CJ18" s="14">
        <v>483</v>
      </c>
      <c r="CK18" s="14">
        <v>269</v>
      </c>
      <c r="CL18" s="14">
        <v>173</v>
      </c>
      <c r="CM18" s="17">
        <v>0.64</v>
      </c>
      <c r="CN18" s="38">
        <f t="shared" si="18"/>
        <v>0.39140271493212669</v>
      </c>
      <c r="CO18" s="52">
        <f t="shared" si="44"/>
        <v>0.41000000000000003</v>
      </c>
      <c r="CP18" s="51"/>
      <c r="CQ18">
        <f t="shared" si="26"/>
        <v>26</v>
      </c>
      <c r="CR18" s="14">
        <v>26</v>
      </c>
      <c r="CS18" s="14">
        <v>437</v>
      </c>
      <c r="CT18" s="14">
        <v>1907</v>
      </c>
      <c r="CU18" s="14">
        <v>513</v>
      </c>
      <c r="CV18" s="17">
        <v>0.81</v>
      </c>
      <c r="CW18" s="17">
        <v>0.54</v>
      </c>
      <c r="CX18" s="8">
        <f>CX17+0.5%</f>
        <v>0.54500000000000004</v>
      </c>
      <c r="DA18" s="14">
        <v>6</v>
      </c>
      <c r="DB18" s="15">
        <v>0.84</v>
      </c>
      <c r="DC18" s="55"/>
      <c r="DD18" s="55">
        <f t="shared" si="27"/>
        <v>5.5</v>
      </c>
      <c r="DE18" s="14">
        <v>4</v>
      </c>
      <c r="DF18" s="14">
        <v>1.0820000000000001</v>
      </c>
      <c r="DH18" s="56">
        <f t="shared" si="28"/>
        <v>-34</v>
      </c>
      <c r="DI18" s="57">
        <f t="shared" si="29"/>
        <v>0.61537500000000001</v>
      </c>
      <c r="DJ18">
        <f t="shared" si="19"/>
        <v>-34.5</v>
      </c>
      <c r="DK18">
        <f t="shared" si="20"/>
        <v>-30.5</v>
      </c>
      <c r="DL18">
        <f t="shared" si="30"/>
        <v>0.125</v>
      </c>
      <c r="DM18">
        <f t="shared" si="31"/>
        <v>0.60699999999999998</v>
      </c>
      <c r="DN18">
        <f t="shared" si="32"/>
        <v>0.67400000000000004</v>
      </c>
      <c r="DX18">
        <f t="shared" si="16"/>
        <v>21.5</v>
      </c>
      <c r="DY18" s="62">
        <v>20</v>
      </c>
      <c r="DZ18" s="64">
        <v>0.66</v>
      </c>
      <c r="EB18" s="62">
        <v>10.5</v>
      </c>
      <c r="EC18" s="64">
        <v>0.91</v>
      </c>
      <c r="EE18" s="56">
        <f t="shared" si="34"/>
        <v>-28</v>
      </c>
      <c r="EF18" s="57">
        <f t="shared" si="42"/>
        <v>0.29875000000000002</v>
      </c>
      <c r="EG18">
        <f t="shared" si="21"/>
        <v>-30.5</v>
      </c>
      <c r="EH18">
        <f t="shared" si="22"/>
        <v>-26.5</v>
      </c>
      <c r="EI18">
        <f t="shared" si="35"/>
        <v>0.625</v>
      </c>
      <c r="EJ18">
        <f t="shared" si="36"/>
        <v>0.28000000000000003</v>
      </c>
      <c r="EK18">
        <f t="shared" si="37"/>
        <v>0.31</v>
      </c>
      <c r="EM18" s="62">
        <v>12</v>
      </c>
      <c r="EN18" s="64">
        <v>0.76</v>
      </c>
      <c r="EO18" s="64">
        <v>0.78</v>
      </c>
      <c r="EP18" s="64">
        <v>0.78</v>
      </c>
      <c r="EQ18" s="68"/>
      <c r="FH18" s="62" t="s">
        <v>270</v>
      </c>
      <c r="FI18" s="62">
        <v>220</v>
      </c>
      <c r="FJ18" s="64">
        <v>0.49</v>
      </c>
      <c r="FK18" s="64">
        <v>0.97</v>
      </c>
      <c r="FL18" s="64">
        <v>1</v>
      </c>
      <c r="FM18" s="62">
        <v>2.15</v>
      </c>
      <c r="FN18" s="62">
        <v>8.8000000000000007</v>
      </c>
      <c r="FP18">
        <f t="shared" si="38"/>
        <v>21</v>
      </c>
      <c r="FQ18" s="7">
        <f t="shared" si="39"/>
        <v>0.495</v>
      </c>
      <c r="GP18" s="6">
        <f t="shared" si="11"/>
        <v>0.16</v>
      </c>
      <c r="GQ18" s="8">
        <f t="shared" si="46"/>
        <v>0.36522831784750603</v>
      </c>
      <c r="GR18">
        <f t="shared" si="47"/>
        <v>1.7380133224432248</v>
      </c>
      <c r="GS18">
        <v>10</v>
      </c>
      <c r="GT18">
        <f t="shared" si="48"/>
        <v>17.380133224432246</v>
      </c>
      <c r="GU18" s="8">
        <f t="shared" si="49"/>
        <v>0.36522831784750603</v>
      </c>
      <c r="GV18" s="8">
        <f t="shared" si="50"/>
        <v>0.16000000000000006</v>
      </c>
      <c r="GX18">
        <v>3.25</v>
      </c>
      <c r="GY18" s="8">
        <v>0.21</v>
      </c>
      <c r="HA18">
        <v>1.0999999999999999</v>
      </c>
      <c r="HB18">
        <v>0.97953689228989282</v>
      </c>
      <c r="HD18">
        <v>12</v>
      </c>
      <c r="HE18" s="8">
        <v>0.82000000000000006</v>
      </c>
    </row>
    <row r="19" spans="1:213" ht="15.75" thickBot="1">
      <c r="A19" s="20">
        <v>-19</v>
      </c>
      <c r="B19" s="27">
        <v>9.4317027859017674E-3</v>
      </c>
      <c r="G19" s="20">
        <v>13</v>
      </c>
      <c r="H19" s="26">
        <v>3.5869565217391304</v>
      </c>
      <c r="I19" s="26"/>
      <c r="J19">
        <v>46</v>
      </c>
      <c r="K19">
        <v>165</v>
      </c>
      <c r="L19" s="6">
        <v>3.5869565217391304</v>
      </c>
      <c r="N19" s="20">
        <v>18</v>
      </c>
      <c r="O19" s="1">
        <v>16420</v>
      </c>
      <c r="P19" s="1">
        <v>8803</v>
      </c>
      <c r="Q19" s="1">
        <v>9770</v>
      </c>
      <c r="R19" s="89">
        <v>0.59500609013398298</v>
      </c>
      <c r="S19" s="89">
        <v>0.59500609013398298</v>
      </c>
      <c r="T19" s="1"/>
      <c r="U19" s="92">
        <v>3</v>
      </c>
      <c r="V19" s="93">
        <v>2</v>
      </c>
      <c r="W19" s="93" t="s">
        <v>105</v>
      </c>
      <c r="X19" s="260">
        <f>+X11*2</f>
        <v>6.1851463215576545E-2</v>
      </c>
      <c r="Y19" s="99">
        <v>0</v>
      </c>
      <c r="Z19" s="94"/>
      <c r="AA19" s="112">
        <f t="shared" si="45"/>
        <v>17</v>
      </c>
      <c r="AB19" s="113">
        <v>2.0663263047710014</v>
      </c>
      <c r="AC19">
        <v>21</v>
      </c>
      <c r="AD19" s="6">
        <v>2</v>
      </c>
      <c r="AE19" s="113"/>
      <c r="AF19" s="243"/>
      <c r="AG19" s="243"/>
      <c r="AH19" s="243">
        <f t="shared" si="43"/>
        <v>1.96</v>
      </c>
      <c r="AI19" s="245">
        <f t="shared" si="1"/>
        <v>1.96</v>
      </c>
      <c r="AK19" t="s">
        <v>106</v>
      </c>
      <c r="AL19" s="8">
        <v>4.3600530431203995E-2</v>
      </c>
      <c r="AM19" s="8">
        <v>3.5301111161918704E-2</v>
      </c>
      <c r="AN19" s="8">
        <v>4.2937491426219769E-2</v>
      </c>
      <c r="AO19" s="8">
        <v>0.12183913301934246</v>
      </c>
      <c r="AR19">
        <v>45</v>
      </c>
      <c r="AS19" s="8">
        <v>0.40790813964255951</v>
      </c>
      <c r="AT19" s="8">
        <v>0.35764136162939753</v>
      </c>
      <c r="AU19">
        <v>49245</v>
      </c>
      <c r="AV19">
        <v>10799</v>
      </c>
      <c r="AW19">
        <v>7021</v>
      </c>
      <c r="AX19">
        <v>4405</v>
      </c>
      <c r="AY19">
        <v>2511</v>
      </c>
      <c r="BB19" s="14">
        <v>10</v>
      </c>
      <c r="BC19" s="14">
        <v>292</v>
      </c>
      <c r="BD19" s="14">
        <v>2237</v>
      </c>
      <c r="BE19" s="38">
        <f t="shared" si="53"/>
        <v>0.13053196244970944</v>
      </c>
      <c r="BF19" s="7">
        <f t="shared" ref="BF19:BF33" si="54">BE19</f>
        <v>0.13053196244970944</v>
      </c>
      <c r="BG19" s="7"/>
      <c r="BH19">
        <f t="shared" si="51"/>
        <v>10</v>
      </c>
      <c r="BI19" s="7">
        <f t="shared" si="24"/>
        <v>0.13053196244970944</v>
      </c>
      <c r="BJ19" s="7"/>
      <c r="BK19" s="7"/>
      <c r="BY19" s="14">
        <v>16</v>
      </c>
      <c r="BZ19" s="14">
        <v>1804</v>
      </c>
      <c r="CA19" s="14">
        <v>448</v>
      </c>
      <c r="CB19" s="14">
        <v>14</v>
      </c>
      <c r="CC19" s="38">
        <f t="shared" si="17"/>
        <v>0.19893428063943161</v>
      </c>
      <c r="CD19" s="15">
        <v>8.0000000000000002E-3</v>
      </c>
      <c r="CE19" s="7">
        <f>CE18+0.75%</f>
        <v>0.20750000000000002</v>
      </c>
      <c r="CF19" s="49">
        <f t="shared" si="52"/>
        <v>7.7500000000000008E-3</v>
      </c>
      <c r="CH19">
        <v>30</v>
      </c>
      <c r="CI19" s="14" t="s">
        <v>181</v>
      </c>
      <c r="CJ19" s="14">
        <v>423</v>
      </c>
      <c r="CK19" s="14">
        <v>206</v>
      </c>
      <c r="CL19" s="14">
        <v>140</v>
      </c>
      <c r="CM19" s="17">
        <v>0.67</v>
      </c>
      <c r="CN19" s="38">
        <f t="shared" si="18"/>
        <v>0.40462427745664742</v>
      </c>
      <c r="CO19" s="52">
        <f t="shared" si="44"/>
        <v>0.41500000000000004</v>
      </c>
      <c r="CP19" s="51"/>
      <c r="CQ19">
        <f t="shared" si="26"/>
        <v>27</v>
      </c>
      <c r="CR19" s="14">
        <v>27</v>
      </c>
      <c r="CS19" s="14">
        <v>296</v>
      </c>
      <c r="CT19" s="14">
        <v>1244</v>
      </c>
      <c r="CU19" s="14">
        <v>363</v>
      </c>
      <c r="CV19" s="17">
        <v>0.81</v>
      </c>
      <c r="CW19" s="17">
        <v>0.55000000000000004</v>
      </c>
      <c r="CX19" s="8">
        <f>CX18+0.5%</f>
        <v>0.55000000000000004</v>
      </c>
      <c r="DA19" s="14">
        <v>7</v>
      </c>
      <c r="DB19" s="15">
        <v>0.85</v>
      </c>
      <c r="DC19" s="55"/>
      <c r="DD19" s="55">
        <f t="shared" si="27"/>
        <v>9.5</v>
      </c>
      <c r="DE19" s="14">
        <v>8</v>
      </c>
      <c r="DF19" s="14">
        <v>1.085</v>
      </c>
      <c r="DH19" s="56">
        <f t="shared" si="28"/>
        <v>-33</v>
      </c>
      <c r="DI19" s="57">
        <f t="shared" si="29"/>
        <v>0.63212500000000005</v>
      </c>
      <c r="DJ19">
        <f t="shared" si="19"/>
        <v>-34.5</v>
      </c>
      <c r="DK19">
        <f t="shared" si="20"/>
        <v>-30.5</v>
      </c>
      <c r="DL19">
        <f t="shared" si="30"/>
        <v>0.375</v>
      </c>
      <c r="DM19">
        <f t="shared" si="31"/>
        <v>0.60699999999999998</v>
      </c>
      <c r="DN19">
        <f t="shared" si="32"/>
        <v>0.67400000000000004</v>
      </c>
      <c r="DX19">
        <f t="shared" si="16"/>
        <v>25.5</v>
      </c>
      <c r="DY19" s="62">
        <v>24</v>
      </c>
      <c r="DZ19" s="64">
        <v>0.68</v>
      </c>
      <c r="EB19" s="62">
        <v>11</v>
      </c>
      <c r="EC19" s="64">
        <v>0.89</v>
      </c>
      <c r="EE19" s="56">
        <f t="shared" si="34"/>
        <v>-27</v>
      </c>
      <c r="EF19" s="57">
        <f t="shared" si="42"/>
        <v>0.30625000000000002</v>
      </c>
      <c r="EG19">
        <f t="shared" si="21"/>
        <v>-30.5</v>
      </c>
      <c r="EH19">
        <f t="shared" si="22"/>
        <v>-26.5</v>
      </c>
      <c r="EI19">
        <f t="shared" si="35"/>
        <v>0.875</v>
      </c>
      <c r="EJ19">
        <f t="shared" si="36"/>
        <v>0.28000000000000003</v>
      </c>
      <c r="EK19">
        <f t="shared" si="37"/>
        <v>0.31</v>
      </c>
      <c r="FP19">
        <f t="shared" si="38"/>
        <v>22</v>
      </c>
      <c r="FQ19" s="7">
        <f t="shared" si="39"/>
        <v>0.49</v>
      </c>
      <c r="GP19" s="6">
        <f t="shared" si="11"/>
        <v>0.17</v>
      </c>
      <c r="GQ19" s="8">
        <f t="shared" si="46"/>
        <v>0.37085690924848341</v>
      </c>
      <c r="GR19">
        <f t="shared" si="47"/>
        <v>1.6964577848271254</v>
      </c>
      <c r="GS19">
        <v>10</v>
      </c>
      <c r="GT19">
        <f t="shared" si="48"/>
        <v>16.964577848271258</v>
      </c>
      <c r="GU19" s="8">
        <f t="shared" si="49"/>
        <v>0.37085690924848341</v>
      </c>
      <c r="GV19" s="8">
        <f t="shared" si="50"/>
        <v>0.16999999999999993</v>
      </c>
      <c r="GX19">
        <v>3.5</v>
      </c>
      <c r="GY19" s="8">
        <v>0.2</v>
      </c>
      <c r="HA19">
        <v>1.2</v>
      </c>
      <c r="HB19">
        <v>0.97118306883186134</v>
      </c>
      <c r="HD19">
        <v>13</v>
      </c>
      <c r="HE19" s="8">
        <v>0.83000000000000007</v>
      </c>
    </row>
    <row r="20" spans="1:213" ht="15.75" thickBot="1">
      <c r="A20" s="20">
        <v>-18</v>
      </c>
      <c r="B20" s="27">
        <v>2.1504676488270872E-2</v>
      </c>
      <c r="G20" s="20">
        <v>14</v>
      </c>
      <c r="H20" s="26">
        <v>3.7369565217391303</v>
      </c>
      <c r="I20" s="26"/>
      <c r="J20">
        <v>14</v>
      </c>
      <c r="K20">
        <v>48</v>
      </c>
      <c r="L20" s="6">
        <v>3.4285714285714284</v>
      </c>
      <c r="N20" s="20">
        <v>19</v>
      </c>
      <c r="O20" s="1">
        <v>17555</v>
      </c>
      <c r="P20" s="1">
        <v>9245</v>
      </c>
      <c r="Q20" s="1">
        <v>10714</v>
      </c>
      <c r="R20" s="89">
        <v>0.61031045286243235</v>
      </c>
      <c r="S20" s="89">
        <v>0.61031045286243235</v>
      </c>
      <c r="T20" s="1"/>
      <c r="U20" s="92">
        <v>3</v>
      </c>
      <c r="V20" s="93">
        <v>3</v>
      </c>
      <c r="W20" s="93" t="s">
        <v>107</v>
      </c>
      <c r="X20" s="260">
        <f>+X12*2</f>
        <v>3.2040783269140782E-2</v>
      </c>
      <c r="Y20" s="99">
        <v>0</v>
      </c>
      <c r="Z20" s="94"/>
      <c r="AA20" s="112">
        <f t="shared" si="45"/>
        <v>18</v>
      </c>
      <c r="AB20" s="113">
        <v>2.1061071831752933</v>
      </c>
      <c r="AC20">
        <v>22</v>
      </c>
      <c r="AD20" s="6">
        <v>2.0099999999999998</v>
      </c>
      <c r="AE20" s="113"/>
      <c r="AF20" s="243"/>
      <c r="AG20" s="243"/>
      <c r="AH20" s="243">
        <f t="shared" si="43"/>
        <v>1.97</v>
      </c>
      <c r="AI20" s="245">
        <f t="shared" si="1"/>
        <v>1.97</v>
      </c>
      <c r="AK20" t="s">
        <v>108</v>
      </c>
      <c r="AL20" s="8">
        <v>4.4510210121337671E-2</v>
      </c>
      <c r="AM20" s="8">
        <v>3.6608464042616161E-2</v>
      </c>
      <c r="AN20" s="8">
        <v>4.1195620005918913E-2</v>
      </c>
      <c r="AO20" s="8">
        <v>0.12231429416987274</v>
      </c>
      <c r="AR20">
        <v>50</v>
      </c>
      <c r="AS20" s="8">
        <v>0.44280895430849432</v>
      </c>
      <c r="AT20" s="8">
        <v>0.34340614222368204</v>
      </c>
      <c r="AU20">
        <v>43563</v>
      </c>
      <c r="AV20">
        <v>9783</v>
      </c>
      <c r="AW20">
        <v>6089</v>
      </c>
      <c r="AX20">
        <v>4332</v>
      </c>
      <c r="AY20">
        <v>2091</v>
      </c>
      <c r="BB20" s="14">
        <v>11</v>
      </c>
      <c r="BC20" s="14">
        <v>590</v>
      </c>
      <c r="BD20" s="14">
        <v>3778</v>
      </c>
      <c r="BE20" s="38">
        <f t="shared" si="53"/>
        <v>0.15616728427739546</v>
      </c>
      <c r="BF20" s="7">
        <f t="shared" si="54"/>
        <v>0.15616728427739546</v>
      </c>
      <c r="BG20" s="7"/>
      <c r="BH20">
        <f t="shared" si="51"/>
        <v>10.5</v>
      </c>
      <c r="BI20" s="7">
        <f t="shared" si="24"/>
        <v>0.14334962336355245</v>
      </c>
      <c r="BJ20" s="7"/>
      <c r="BK20" s="7"/>
      <c r="BY20" s="14">
        <v>17</v>
      </c>
      <c r="BZ20" s="14">
        <v>2962</v>
      </c>
      <c r="CA20" s="14">
        <v>757</v>
      </c>
      <c r="CB20" s="14">
        <v>28</v>
      </c>
      <c r="CC20" s="38">
        <f t="shared" si="17"/>
        <v>0.20354934122075827</v>
      </c>
      <c r="CD20" s="15">
        <v>8.9999999999999993E-3</v>
      </c>
      <c r="CE20" s="7">
        <f>CE19+0.75%</f>
        <v>0.21500000000000002</v>
      </c>
      <c r="CF20" s="49">
        <f t="shared" si="52"/>
        <v>8.0000000000000002E-3</v>
      </c>
      <c r="CQ20">
        <f t="shared" si="26"/>
        <v>28</v>
      </c>
      <c r="CR20" s="14">
        <v>28</v>
      </c>
      <c r="CS20" s="14">
        <v>166</v>
      </c>
      <c r="CT20" s="14">
        <v>691</v>
      </c>
      <c r="CU20" s="14">
        <v>192</v>
      </c>
      <c r="CV20" s="17">
        <v>0.81</v>
      </c>
      <c r="CW20" s="17">
        <v>0.54</v>
      </c>
      <c r="CX20" s="8">
        <f>CX19+0.5%</f>
        <v>0.55500000000000005</v>
      </c>
      <c r="DA20" s="14">
        <v>8</v>
      </c>
      <c r="DB20" s="15">
        <v>0.85499999999999998</v>
      </c>
      <c r="DC20" s="55"/>
      <c r="DD20" s="55">
        <f t="shared" si="27"/>
        <v>13.5</v>
      </c>
      <c r="DE20" s="14">
        <v>12</v>
      </c>
      <c r="DF20" s="14">
        <v>1.0880000000000001</v>
      </c>
      <c r="DH20" s="56">
        <f t="shared" si="28"/>
        <v>-32</v>
      </c>
      <c r="DI20" s="57">
        <f t="shared" si="29"/>
        <v>0.64887499999999998</v>
      </c>
      <c r="DJ20">
        <f t="shared" si="19"/>
        <v>-34.5</v>
      </c>
      <c r="DK20">
        <f t="shared" si="20"/>
        <v>-30.5</v>
      </c>
      <c r="DL20">
        <f t="shared" si="30"/>
        <v>0.625</v>
      </c>
      <c r="DM20">
        <f t="shared" si="31"/>
        <v>0.60699999999999998</v>
      </c>
      <c r="DN20">
        <f t="shared" si="32"/>
        <v>0.67400000000000004</v>
      </c>
      <c r="EB20" s="62">
        <v>11.5</v>
      </c>
      <c r="EC20" s="64">
        <v>0.88</v>
      </c>
      <c r="EE20" s="56">
        <f t="shared" si="34"/>
        <v>-26</v>
      </c>
      <c r="EF20" s="57">
        <f t="shared" si="42"/>
        <v>0.31374999999999997</v>
      </c>
      <c r="EG20">
        <f t="shared" si="21"/>
        <v>-26.5</v>
      </c>
      <c r="EH20">
        <f t="shared" si="22"/>
        <v>-22.5</v>
      </c>
      <c r="EI20">
        <f t="shared" si="35"/>
        <v>0.125</v>
      </c>
      <c r="EJ20">
        <f t="shared" si="36"/>
        <v>0.31</v>
      </c>
      <c r="EK20">
        <f t="shared" si="37"/>
        <v>0.34</v>
      </c>
      <c r="GP20" s="6">
        <f t="shared" si="11"/>
        <v>0.18</v>
      </c>
      <c r="GQ20" s="8">
        <f t="shared" si="46"/>
        <v>0.37626095235840601</v>
      </c>
      <c r="GR20">
        <f t="shared" si="47"/>
        <v>1.6577299444228633</v>
      </c>
      <c r="GS20">
        <v>10</v>
      </c>
      <c r="GT20">
        <f t="shared" si="48"/>
        <v>16.577299444228636</v>
      </c>
      <c r="GU20" s="8">
        <f t="shared" si="49"/>
        <v>0.37626095235840595</v>
      </c>
      <c r="GV20" s="8">
        <f t="shared" si="50"/>
        <v>0.17999999999999994</v>
      </c>
      <c r="HA20">
        <v>1.3</v>
      </c>
      <c r="HB20">
        <v>0.96260793522974697</v>
      </c>
      <c r="HD20">
        <v>14</v>
      </c>
      <c r="HE20" s="8">
        <v>0.84000000000000008</v>
      </c>
    </row>
    <row r="21" spans="1:213" ht="15.75" thickBot="1">
      <c r="A21" s="20">
        <v>-17</v>
      </c>
      <c r="B21" s="27">
        <v>3.1710669204402304E-2</v>
      </c>
      <c r="G21" s="20">
        <v>15</v>
      </c>
      <c r="H21" s="26">
        <v>3.8869565217391302</v>
      </c>
      <c r="I21" s="26"/>
      <c r="J21">
        <v>12</v>
      </c>
      <c r="K21">
        <v>43</v>
      </c>
      <c r="L21" s="6">
        <v>3.5833333333333335</v>
      </c>
      <c r="N21" s="20">
        <v>20</v>
      </c>
      <c r="O21" s="1">
        <v>14542</v>
      </c>
      <c r="P21" s="1">
        <v>7499</v>
      </c>
      <c r="Q21" s="1">
        <v>9152</v>
      </c>
      <c r="R21" s="89">
        <v>0.62934947049924361</v>
      </c>
      <c r="S21" s="89">
        <v>0.62934947049924361</v>
      </c>
      <c r="T21" s="1"/>
      <c r="U21" s="92"/>
      <c r="V21" s="93"/>
      <c r="W21" s="93"/>
      <c r="X21" s="99"/>
      <c r="Y21" s="99"/>
      <c r="Z21" s="94"/>
      <c r="AA21" s="112">
        <f t="shared" si="45"/>
        <v>19</v>
      </c>
      <c r="AB21" s="113">
        <v>2.1458880615795852</v>
      </c>
      <c r="AC21">
        <v>23</v>
      </c>
      <c r="AD21" s="6">
        <v>2.0199999999999996</v>
      </c>
      <c r="AE21" s="113"/>
      <c r="AF21" s="243"/>
      <c r="AG21" s="243"/>
      <c r="AH21" s="243">
        <f t="shared" si="43"/>
        <v>1.98</v>
      </c>
      <c r="AI21" s="245">
        <f t="shared" si="1"/>
        <v>1.98</v>
      </c>
      <c r="AK21" t="s">
        <v>109</v>
      </c>
      <c r="AL21" s="8">
        <v>4.5777481547310477E-2</v>
      </c>
      <c r="AM21" s="8">
        <v>3.7088054506405982E-2</v>
      </c>
      <c r="AN21" s="8">
        <v>4.1689501098521313E-2</v>
      </c>
      <c r="AO21" s="8">
        <v>0.12455503715223779</v>
      </c>
      <c r="AR21">
        <v>55</v>
      </c>
      <c r="AS21" s="8">
        <v>0.45833333333333331</v>
      </c>
      <c r="AT21" s="8">
        <v>0.33393141945773525</v>
      </c>
      <c r="AU21">
        <v>37515</v>
      </c>
      <c r="AV21">
        <v>8424</v>
      </c>
      <c r="AW21">
        <v>5016</v>
      </c>
      <c r="AX21">
        <v>3861</v>
      </c>
      <c r="AY21">
        <v>1675</v>
      </c>
      <c r="BB21" s="14">
        <v>12</v>
      </c>
      <c r="BC21" s="14">
        <v>1084</v>
      </c>
      <c r="BD21" s="14">
        <v>5698</v>
      </c>
      <c r="BE21" s="38">
        <f t="shared" si="53"/>
        <v>0.19024219024219025</v>
      </c>
      <c r="BF21" s="7">
        <f t="shared" si="54"/>
        <v>0.19024219024219025</v>
      </c>
      <c r="BG21" s="7"/>
      <c r="BH21">
        <f t="shared" si="51"/>
        <v>11</v>
      </c>
      <c r="BI21" s="7">
        <f t="shared" si="24"/>
        <v>0.15616728427739546</v>
      </c>
      <c r="BJ21" s="7"/>
      <c r="BK21" s="7"/>
      <c r="BY21" s="14">
        <v>18</v>
      </c>
      <c r="BZ21" s="14">
        <v>4779</v>
      </c>
      <c r="CA21" s="14">
        <v>1311</v>
      </c>
      <c r="CB21" s="14">
        <v>33</v>
      </c>
      <c r="CC21" s="38">
        <f t="shared" si="17"/>
        <v>0.21527093596059113</v>
      </c>
      <c r="CD21" s="15">
        <v>7.0000000000000001E-3</v>
      </c>
      <c r="CE21" s="7">
        <f>CE20+0.75%</f>
        <v>0.22250000000000003</v>
      </c>
      <c r="CF21" s="49">
        <f t="shared" si="52"/>
        <v>8.2500000000000004E-3</v>
      </c>
      <c r="CQ21">
        <v>29</v>
      </c>
      <c r="CR21" s="14" t="s">
        <v>187</v>
      </c>
      <c r="CS21" s="14">
        <v>160</v>
      </c>
      <c r="CT21" s="14">
        <v>747</v>
      </c>
      <c r="CU21" s="14">
        <v>216</v>
      </c>
      <c r="CV21" s="17">
        <v>0.82</v>
      </c>
      <c r="CW21" s="17">
        <v>0.56999999999999995</v>
      </c>
      <c r="CX21" s="8">
        <f>CX20+0.5%</f>
        <v>0.56000000000000005</v>
      </c>
      <c r="DA21" s="14">
        <v>9</v>
      </c>
      <c r="DB21" s="15">
        <v>0.85799999999999998</v>
      </c>
      <c r="DC21" s="55"/>
      <c r="DD21" s="55">
        <f t="shared" si="27"/>
        <v>17.5</v>
      </c>
      <c r="DE21" s="14">
        <v>16</v>
      </c>
      <c r="DF21" s="14">
        <v>1.091</v>
      </c>
      <c r="DH21" s="56">
        <f t="shared" si="28"/>
        <v>-31</v>
      </c>
      <c r="DI21" s="57">
        <f t="shared" si="29"/>
        <v>0.66562500000000002</v>
      </c>
      <c r="DJ21">
        <f t="shared" si="19"/>
        <v>-34.5</v>
      </c>
      <c r="DK21">
        <f t="shared" si="20"/>
        <v>-30.5</v>
      </c>
      <c r="DL21">
        <f t="shared" si="30"/>
        <v>0.875</v>
      </c>
      <c r="DM21">
        <f t="shared" si="31"/>
        <v>0.60699999999999998</v>
      </c>
      <c r="DN21">
        <f t="shared" si="32"/>
        <v>0.67400000000000004</v>
      </c>
      <c r="EB21" s="62">
        <v>12</v>
      </c>
      <c r="EC21" s="64">
        <v>0.86</v>
      </c>
      <c r="EE21" s="56">
        <f t="shared" si="34"/>
        <v>-25</v>
      </c>
      <c r="EF21" s="57">
        <f t="shared" si="42"/>
        <v>0.32125000000000004</v>
      </c>
      <c r="EG21">
        <f t="shared" si="21"/>
        <v>-26.5</v>
      </c>
      <c r="EH21">
        <f t="shared" si="22"/>
        <v>-22.5</v>
      </c>
      <c r="EI21">
        <f t="shared" si="35"/>
        <v>0.375</v>
      </c>
      <c r="EJ21">
        <f t="shared" si="36"/>
        <v>0.31</v>
      </c>
      <c r="EK21">
        <f t="shared" si="37"/>
        <v>0.34</v>
      </c>
      <c r="GP21" s="6">
        <f t="shared" si="11"/>
        <v>0.19</v>
      </c>
      <c r="GQ21" s="8">
        <f t="shared" si="46"/>
        <v>0.38146451634782036</v>
      </c>
      <c r="GR21">
        <f t="shared" si="47"/>
        <v>1.6214758048116784</v>
      </c>
      <c r="GS21">
        <v>10</v>
      </c>
      <c r="GT21">
        <f t="shared" si="48"/>
        <v>16.214758048116785</v>
      </c>
      <c r="GU21" s="8">
        <f t="shared" si="49"/>
        <v>0.38146451634782036</v>
      </c>
      <c r="GV21" s="8">
        <f t="shared" si="50"/>
        <v>0.18999999999999995</v>
      </c>
      <c r="HA21">
        <v>1.4000000000000001</v>
      </c>
      <c r="HB21">
        <v>0.95379730833159337</v>
      </c>
      <c r="HD21">
        <v>15</v>
      </c>
      <c r="HE21" s="8">
        <v>0.85000000000000009</v>
      </c>
    </row>
    <row r="22" spans="1:213" ht="15.75" thickBot="1">
      <c r="A22" s="20">
        <v>-16</v>
      </c>
      <c r="B22" s="27">
        <v>4.6530571922185814E-2</v>
      </c>
      <c r="G22" s="20">
        <v>16</v>
      </c>
      <c r="H22" s="26">
        <v>4.0369565217391301</v>
      </c>
      <c r="I22" s="26"/>
      <c r="J22">
        <v>4</v>
      </c>
      <c r="K22">
        <v>15</v>
      </c>
      <c r="L22" s="6">
        <v>3.75</v>
      </c>
      <c r="N22" s="20">
        <v>21</v>
      </c>
      <c r="O22" s="1">
        <v>9805</v>
      </c>
      <c r="P22" s="1">
        <v>4881</v>
      </c>
      <c r="Q22" s="1">
        <v>6362</v>
      </c>
      <c r="R22" s="89">
        <v>0.64885262621111672</v>
      </c>
      <c r="S22" s="89">
        <v>0.64885262621111672</v>
      </c>
      <c r="T22" s="1"/>
      <c r="U22" s="92"/>
      <c r="V22" s="93"/>
      <c r="W22" s="93"/>
      <c r="X22" s="93"/>
      <c r="Y22" s="93"/>
      <c r="Z22" s="94"/>
      <c r="AA22" s="112">
        <f t="shared" si="45"/>
        <v>20</v>
      </c>
      <c r="AB22" s="113">
        <v>2.1856689399838767</v>
      </c>
      <c r="AC22">
        <v>24</v>
      </c>
      <c r="AD22" s="6">
        <v>2.0299999999999994</v>
      </c>
      <c r="AE22" s="113"/>
      <c r="AF22" s="243"/>
      <c r="AG22" s="243"/>
      <c r="AH22" s="243">
        <f t="shared" si="43"/>
        <v>1.99</v>
      </c>
      <c r="AI22" s="245">
        <f t="shared" si="1"/>
        <v>1.99</v>
      </c>
      <c r="AK22" t="s">
        <v>110</v>
      </c>
      <c r="AL22" s="8">
        <v>4.4367901756788966E-2</v>
      </c>
      <c r="AM22" s="8">
        <v>3.6230205490259272E-2</v>
      </c>
      <c r="AN22" s="8">
        <v>4.3965045505970662E-2</v>
      </c>
      <c r="AO22" s="8">
        <v>0.12456315275301891</v>
      </c>
      <c r="AR22">
        <v>60</v>
      </c>
      <c r="AS22" s="8">
        <v>0.4792699414150518</v>
      </c>
      <c r="AT22" s="8">
        <v>0.32567760342368046</v>
      </c>
      <c r="AU22">
        <v>57683</v>
      </c>
      <c r="AV22">
        <v>13314</v>
      </c>
      <c r="AW22">
        <v>7010</v>
      </c>
      <c r="AX22">
        <v>6381</v>
      </c>
      <c r="AY22">
        <v>2283</v>
      </c>
      <c r="BB22" s="14">
        <v>13</v>
      </c>
      <c r="BC22" s="14">
        <v>2080</v>
      </c>
      <c r="BD22" s="14">
        <v>9460</v>
      </c>
      <c r="BE22" s="38">
        <f t="shared" si="53"/>
        <v>0.21987315010570824</v>
      </c>
      <c r="BF22" s="7">
        <f t="shared" si="54"/>
        <v>0.21987315010570824</v>
      </c>
      <c r="BG22" s="7"/>
      <c r="BH22">
        <f t="shared" si="51"/>
        <v>11.5</v>
      </c>
      <c r="BI22" s="7">
        <f t="shared" si="24"/>
        <v>0.17320473725979285</v>
      </c>
      <c r="BJ22" s="7"/>
      <c r="BK22" s="7"/>
      <c r="BY22" s="14">
        <v>19</v>
      </c>
      <c r="BZ22" s="14">
        <v>7267</v>
      </c>
      <c r="CA22" s="14">
        <v>2094</v>
      </c>
      <c r="CB22" s="14">
        <v>56</v>
      </c>
      <c r="CC22" s="38">
        <f t="shared" si="17"/>
        <v>0.22369404978100629</v>
      </c>
      <c r="CD22" s="15">
        <v>8.0000000000000002E-3</v>
      </c>
      <c r="CE22" s="7">
        <f>CE21+0.75%</f>
        <v>0.23000000000000004</v>
      </c>
      <c r="CF22" s="49">
        <f t="shared" si="52"/>
        <v>8.5000000000000006E-3</v>
      </c>
      <c r="DA22" s="14">
        <v>10</v>
      </c>
      <c r="DB22" s="15">
        <v>0.86</v>
      </c>
      <c r="DC22" s="55"/>
      <c r="DD22" s="55">
        <f t="shared" si="27"/>
        <v>21.5</v>
      </c>
      <c r="DE22" s="14">
        <v>20</v>
      </c>
      <c r="DF22" s="14">
        <v>1.0940000000000001</v>
      </c>
      <c r="DH22" s="56">
        <f t="shared" si="28"/>
        <v>-30</v>
      </c>
      <c r="DI22" s="57">
        <f t="shared" si="29"/>
        <v>0.68237499999999995</v>
      </c>
      <c r="DJ22">
        <f t="shared" si="19"/>
        <v>-30.5</v>
      </c>
      <c r="DK22">
        <f t="shared" si="20"/>
        <v>-26.5</v>
      </c>
      <c r="DL22">
        <f t="shared" si="30"/>
        <v>0.125</v>
      </c>
      <c r="DM22">
        <f t="shared" si="31"/>
        <v>0.67400000000000004</v>
      </c>
      <c r="DN22">
        <f t="shared" si="32"/>
        <v>0.74099999999999999</v>
      </c>
      <c r="EB22" s="62">
        <v>12.5</v>
      </c>
      <c r="EC22" s="64">
        <v>0.85</v>
      </c>
      <c r="EE22" s="56">
        <f t="shared" si="34"/>
        <v>-24</v>
      </c>
      <c r="EF22" s="57">
        <f t="shared" si="42"/>
        <v>0.32874999999999999</v>
      </c>
      <c r="EG22">
        <f t="shared" si="21"/>
        <v>-26.5</v>
      </c>
      <c r="EH22">
        <f t="shared" si="22"/>
        <v>-22.5</v>
      </c>
      <c r="EI22">
        <f t="shared" si="35"/>
        <v>0.625</v>
      </c>
      <c r="EJ22">
        <f t="shared" si="36"/>
        <v>0.31</v>
      </c>
      <c r="EK22">
        <f t="shared" si="37"/>
        <v>0.34</v>
      </c>
      <c r="GP22" s="6">
        <f t="shared" si="11"/>
        <v>0.2</v>
      </c>
      <c r="GQ22" s="8">
        <f t="shared" si="46"/>
        <v>0.3864882095643094</v>
      </c>
      <c r="GR22">
        <f t="shared" si="47"/>
        <v>1.5874010519681994</v>
      </c>
      <c r="GS22">
        <v>10</v>
      </c>
      <c r="GT22">
        <f t="shared" si="48"/>
        <v>15.874010519681992</v>
      </c>
      <c r="GU22" s="8">
        <f t="shared" si="49"/>
        <v>0.3864882095643094</v>
      </c>
      <c r="GV22" s="8">
        <f t="shared" si="50"/>
        <v>0.20000000000000007</v>
      </c>
      <c r="HA22">
        <v>1.5000000000000002</v>
      </c>
      <c r="HB22">
        <v>0.94473552210162903</v>
      </c>
      <c r="HD22">
        <v>16</v>
      </c>
      <c r="HE22" s="8">
        <v>0.8600000000000001</v>
      </c>
    </row>
    <row r="23" spans="1:213" ht="15.75" thickBot="1">
      <c r="A23" s="20">
        <v>-15</v>
      </c>
      <c r="B23" s="27">
        <v>5.9288056993736224E-2</v>
      </c>
      <c r="G23" s="20">
        <v>17</v>
      </c>
      <c r="H23" s="26">
        <v>4.1869565217391305</v>
      </c>
      <c r="I23" s="26"/>
      <c r="J23">
        <v>2</v>
      </c>
      <c r="K23">
        <v>10</v>
      </c>
      <c r="L23" s="6">
        <v>5</v>
      </c>
      <c r="N23" s="20">
        <v>22</v>
      </c>
      <c r="O23" s="1">
        <v>4813</v>
      </c>
      <c r="P23" s="1">
        <v>2368</v>
      </c>
      <c r="Q23" s="1">
        <v>3188</v>
      </c>
      <c r="R23" s="89">
        <v>0.66237274049449413</v>
      </c>
      <c r="S23" s="89">
        <v>0.66237274049449413</v>
      </c>
      <c r="T23" s="1"/>
      <c r="U23" s="92"/>
      <c r="V23" s="93"/>
      <c r="W23" s="93"/>
      <c r="X23" s="93"/>
      <c r="Y23" s="93"/>
      <c r="Z23" s="94"/>
      <c r="AA23" s="112">
        <f t="shared" si="45"/>
        <v>21</v>
      </c>
      <c r="AB23" s="113">
        <v>2.2254498183881686</v>
      </c>
      <c r="AC23">
        <v>25</v>
      </c>
      <c r="AD23" s="6">
        <v>2.0399999999999991</v>
      </c>
      <c r="AE23" s="113"/>
      <c r="AF23" s="243"/>
      <c r="AG23" s="243"/>
      <c r="AH23" s="243">
        <f t="shared" si="43"/>
        <v>2</v>
      </c>
      <c r="AI23" s="245">
        <f t="shared" si="1"/>
        <v>2</v>
      </c>
      <c r="AK23" t="s">
        <v>111</v>
      </c>
      <c r="AL23" s="8">
        <v>4.2702486607499791E-2</v>
      </c>
      <c r="AM23" s="8">
        <v>3.7048053090269442E-2</v>
      </c>
      <c r="AN23" s="8">
        <v>4.1819780922683292E-2</v>
      </c>
      <c r="AO23" s="8">
        <v>0.12157032062045253</v>
      </c>
      <c r="AR23">
        <v>65</v>
      </c>
      <c r="AS23" s="8">
        <v>0.49869983041266253</v>
      </c>
      <c r="AT23" s="8">
        <v>0.31974994211623059</v>
      </c>
      <c r="AU23">
        <v>38408</v>
      </c>
      <c r="AV23">
        <v>8845</v>
      </c>
      <c r="AW23">
        <v>4319</v>
      </c>
      <c r="AX23">
        <v>4411</v>
      </c>
      <c r="AY23">
        <v>1381</v>
      </c>
      <c r="BB23" s="14">
        <v>14</v>
      </c>
      <c r="BC23" s="14">
        <v>3252</v>
      </c>
      <c r="BD23" s="14">
        <v>13053</v>
      </c>
      <c r="BE23" s="38">
        <f t="shared" si="53"/>
        <v>0.24913812916570904</v>
      </c>
      <c r="BF23" s="7">
        <f t="shared" si="54"/>
        <v>0.24913812916570904</v>
      </c>
      <c r="BG23" s="7"/>
      <c r="BH23">
        <f t="shared" si="51"/>
        <v>12</v>
      </c>
      <c r="BI23" s="7">
        <f t="shared" si="24"/>
        <v>0.19024219024219025</v>
      </c>
      <c r="BJ23" s="7"/>
      <c r="BK23" s="7"/>
      <c r="BY23" s="14">
        <v>20</v>
      </c>
      <c r="BZ23" s="14">
        <v>13018</v>
      </c>
      <c r="CA23" s="14">
        <v>4085</v>
      </c>
      <c r="CB23" s="14">
        <v>119</v>
      </c>
      <c r="CC23" s="38">
        <f t="shared" si="17"/>
        <v>0.23884698590890488</v>
      </c>
      <c r="CD23" s="15">
        <v>8.9999999999999993E-3</v>
      </c>
      <c r="CE23" s="7">
        <f>CE22+0.75%</f>
        <v>0.23750000000000004</v>
      </c>
      <c r="CF23" s="49">
        <f t="shared" si="52"/>
        <v>8.7500000000000008E-3</v>
      </c>
      <c r="DA23" s="55"/>
      <c r="DB23" s="55"/>
      <c r="DC23" s="55"/>
      <c r="DD23" s="55">
        <v>25.5</v>
      </c>
      <c r="DE23" s="14">
        <v>24</v>
      </c>
      <c r="DF23" s="14">
        <v>1.097</v>
      </c>
      <c r="DH23" s="56">
        <f t="shared" si="28"/>
        <v>-29</v>
      </c>
      <c r="DI23" s="57">
        <f t="shared" si="29"/>
        <v>0.699125</v>
      </c>
      <c r="DJ23">
        <f t="shared" si="19"/>
        <v>-30.5</v>
      </c>
      <c r="DK23">
        <f t="shared" si="20"/>
        <v>-26.5</v>
      </c>
      <c r="DL23">
        <f t="shared" si="30"/>
        <v>0.375</v>
      </c>
      <c r="DM23">
        <f t="shared" si="31"/>
        <v>0.67400000000000004</v>
      </c>
      <c r="DN23">
        <f t="shared" si="32"/>
        <v>0.74099999999999999</v>
      </c>
      <c r="EB23" s="62">
        <v>13</v>
      </c>
      <c r="EC23" s="64">
        <v>0.83</v>
      </c>
      <c r="EE23" s="56">
        <f t="shared" si="34"/>
        <v>-23</v>
      </c>
      <c r="EF23" s="57">
        <f t="shared" si="42"/>
        <v>0.33625000000000005</v>
      </c>
      <c r="EG23">
        <f t="shared" si="21"/>
        <v>-26.5</v>
      </c>
      <c r="EH23">
        <f t="shared" si="22"/>
        <v>-22.5</v>
      </c>
      <c r="EI23">
        <f t="shared" si="35"/>
        <v>0.875</v>
      </c>
      <c r="EJ23">
        <f t="shared" si="36"/>
        <v>0.31</v>
      </c>
      <c r="EK23">
        <f t="shared" si="37"/>
        <v>0.34</v>
      </c>
      <c r="GP23" s="6">
        <f t="shared" si="11"/>
        <v>0.21</v>
      </c>
      <c r="GQ23" s="8">
        <f t="shared" si="46"/>
        <v>0.39134982961667453</v>
      </c>
      <c r="GR23">
        <f t="shared" si="47"/>
        <v>1.5552585546785487</v>
      </c>
      <c r="GS23">
        <v>10</v>
      </c>
      <c r="GT23">
        <f t="shared" si="48"/>
        <v>15.552585546785487</v>
      </c>
      <c r="GU23" s="8">
        <f t="shared" si="49"/>
        <v>0.39134982961667453</v>
      </c>
      <c r="GV23" s="8">
        <f t="shared" si="50"/>
        <v>0.21000000000000002</v>
      </c>
      <c r="HA23">
        <v>1.7500000000000002</v>
      </c>
      <c r="HB23">
        <v>0.93540520781190695</v>
      </c>
      <c r="HD23">
        <v>17</v>
      </c>
      <c r="HE23" s="8">
        <v>0.87000000000000011</v>
      </c>
    </row>
    <row r="24" spans="1:213" ht="15.75" thickBot="1">
      <c r="A24" s="20">
        <v>-14</v>
      </c>
      <c r="B24" s="27">
        <v>7.0644118947262108E-2</v>
      </c>
      <c r="G24" s="20">
        <v>18</v>
      </c>
      <c r="H24" s="26">
        <v>4.3369565217391308</v>
      </c>
      <c r="I24" s="26"/>
      <c r="J24">
        <v>2</v>
      </c>
      <c r="K24">
        <v>9</v>
      </c>
      <c r="L24" s="6">
        <v>4.5</v>
      </c>
      <c r="N24" s="20">
        <v>23</v>
      </c>
      <c r="O24" s="1">
        <v>2275</v>
      </c>
      <c r="P24" s="1">
        <v>1076</v>
      </c>
      <c r="Q24" s="1">
        <v>1574</v>
      </c>
      <c r="R24" s="89">
        <v>0.67237274049449414</v>
      </c>
      <c r="S24" s="89">
        <v>0.6918681318681319</v>
      </c>
      <c r="T24" s="1"/>
      <c r="U24" s="93"/>
      <c r="V24" s="93"/>
      <c r="W24" s="93"/>
      <c r="X24" s="93"/>
      <c r="Y24" s="93"/>
      <c r="Z24" s="94"/>
      <c r="AA24" s="112">
        <f t="shared" si="45"/>
        <v>22</v>
      </c>
      <c r="AB24" s="113"/>
      <c r="AC24" s="246" t="s">
        <v>370</v>
      </c>
      <c r="AD24" s="6"/>
      <c r="AE24" s="113"/>
      <c r="AF24" s="244"/>
      <c r="AH24" s="243">
        <f t="shared" si="43"/>
        <v>2.0099999999999998</v>
      </c>
      <c r="AI24" s="245">
        <f t="shared" si="1"/>
        <v>2.0099999999999998</v>
      </c>
      <c r="AK24" t="s">
        <v>112</v>
      </c>
      <c r="AL24" s="8">
        <v>4.4703687896176153E-2</v>
      </c>
      <c r="AM24" s="8">
        <v>3.8089818371508502E-2</v>
      </c>
      <c r="AN24" s="8">
        <v>4.1883624982216525E-2</v>
      </c>
      <c r="AO24" s="8">
        <v>0.12467713124990118</v>
      </c>
      <c r="AR24">
        <v>70</v>
      </c>
      <c r="AS24" s="8">
        <v>0.54115437158469948</v>
      </c>
      <c r="AT24" s="8">
        <v>0.31285598047192842</v>
      </c>
      <c r="AU24">
        <v>24559</v>
      </c>
      <c r="AV24">
        <v>5856</v>
      </c>
      <c r="AW24">
        <v>2458</v>
      </c>
      <c r="AX24">
        <v>3169</v>
      </c>
      <c r="AY24">
        <v>769</v>
      </c>
      <c r="BB24" s="14">
        <v>15</v>
      </c>
      <c r="BC24" s="14">
        <v>5556</v>
      </c>
      <c r="BD24" s="14">
        <v>19356</v>
      </c>
      <c r="BE24" s="38">
        <f t="shared" si="53"/>
        <v>0.28704277743335399</v>
      </c>
      <c r="BF24" s="7">
        <f t="shared" si="54"/>
        <v>0.28704277743335399</v>
      </c>
      <c r="BG24" s="7"/>
      <c r="BH24">
        <f t="shared" si="51"/>
        <v>12.5</v>
      </c>
      <c r="BI24" s="7">
        <f t="shared" si="24"/>
        <v>0.20505767017394924</v>
      </c>
      <c r="BJ24" s="7"/>
      <c r="BK24" s="7"/>
      <c r="BY24" s="14">
        <v>21</v>
      </c>
      <c r="BZ24" s="14">
        <v>13823</v>
      </c>
      <c r="CA24" s="14">
        <v>4415</v>
      </c>
      <c r="CB24" s="14">
        <v>128</v>
      </c>
      <c r="CC24" s="38">
        <f t="shared" si="17"/>
        <v>0.24207698212523304</v>
      </c>
      <c r="CD24" s="15">
        <v>8.9999999999999993E-3</v>
      </c>
      <c r="CE24" s="7">
        <f>CE23+0.5%</f>
        <v>0.24250000000000005</v>
      </c>
      <c r="CF24" s="49">
        <f t="shared" si="52"/>
        <v>9.0000000000000011E-3</v>
      </c>
      <c r="DA24" s="55"/>
      <c r="DB24" s="55"/>
      <c r="DC24" s="55"/>
      <c r="DD24" s="55">
        <v>29.5</v>
      </c>
      <c r="DE24" s="14" t="s">
        <v>201</v>
      </c>
      <c r="DF24" s="14">
        <v>1.1000000000000001</v>
      </c>
      <c r="DH24" s="56">
        <f t="shared" si="28"/>
        <v>-28</v>
      </c>
      <c r="DI24" s="57">
        <f t="shared" si="29"/>
        <v>0.71587500000000004</v>
      </c>
      <c r="DJ24">
        <f t="shared" si="19"/>
        <v>-30.5</v>
      </c>
      <c r="DK24">
        <f t="shared" si="20"/>
        <v>-26.5</v>
      </c>
      <c r="DL24">
        <f t="shared" si="30"/>
        <v>0.625</v>
      </c>
      <c r="DM24">
        <f t="shared" si="31"/>
        <v>0.67400000000000004</v>
      </c>
      <c r="DN24">
        <f t="shared" si="32"/>
        <v>0.74099999999999999</v>
      </c>
      <c r="EE24" s="56">
        <f t="shared" si="34"/>
        <v>-22</v>
      </c>
      <c r="EF24" s="57">
        <f t="shared" si="42"/>
        <v>0.34500000000000003</v>
      </c>
      <c r="EG24">
        <f t="shared" si="21"/>
        <v>-22.5</v>
      </c>
      <c r="EH24">
        <f t="shared" si="22"/>
        <v>-18.5</v>
      </c>
      <c r="EI24">
        <f t="shared" si="35"/>
        <v>0.125</v>
      </c>
      <c r="EJ24">
        <f t="shared" si="36"/>
        <v>0.34</v>
      </c>
      <c r="EK24">
        <f t="shared" si="37"/>
        <v>0.38</v>
      </c>
      <c r="GP24" s="6">
        <f t="shared" si="11"/>
        <v>0.22</v>
      </c>
      <c r="GQ24" s="8">
        <f t="shared" si="46"/>
        <v>0.3960648674703397</v>
      </c>
      <c r="GR24">
        <f t="shared" si="47"/>
        <v>1.5248389396085162</v>
      </c>
      <c r="GS24">
        <v>10</v>
      </c>
      <c r="GT24">
        <f t="shared" si="48"/>
        <v>15.248389396085161</v>
      </c>
      <c r="GU24" s="8">
        <f t="shared" si="49"/>
        <v>0.39606486747033975</v>
      </c>
      <c r="GV24" s="8">
        <f t="shared" si="50"/>
        <v>0.22000000000000003</v>
      </c>
      <c r="HA24">
        <v>2</v>
      </c>
      <c r="HB24">
        <v>0.92578703125700579</v>
      </c>
      <c r="HD24">
        <v>18</v>
      </c>
      <c r="HE24" s="8">
        <v>0.88000000000000012</v>
      </c>
    </row>
    <row r="25" spans="1:213" ht="15.75" thickBot="1">
      <c r="A25" s="20">
        <v>-13</v>
      </c>
      <c r="B25" s="27">
        <v>8.3940646088850393E-2</v>
      </c>
      <c r="G25" s="21" t="s">
        <v>20</v>
      </c>
      <c r="H25" s="21"/>
      <c r="I25" s="21"/>
      <c r="J25" s="22">
        <v>17996</v>
      </c>
      <c r="K25" s="22">
        <v>28874</v>
      </c>
      <c r="L25" s="6">
        <v>1.6044676594798843</v>
      </c>
      <c r="N25" s="20">
        <v>24</v>
      </c>
      <c r="O25" s="1">
        <v>1305</v>
      </c>
      <c r="P25" s="1">
        <v>618</v>
      </c>
      <c r="Q25" s="1">
        <v>893</v>
      </c>
      <c r="R25" s="89">
        <v>0.68237274049449415</v>
      </c>
      <c r="S25" s="89">
        <v>0.68429118773946362</v>
      </c>
      <c r="T25" s="1"/>
      <c r="U25" s="93"/>
      <c r="V25" s="93"/>
      <c r="W25" s="93"/>
      <c r="X25" s="93"/>
      <c r="Y25" s="93"/>
      <c r="Z25" s="94"/>
      <c r="AA25" s="112">
        <f t="shared" si="45"/>
        <v>23</v>
      </c>
      <c r="AB25" s="113"/>
      <c r="AE25" s="113"/>
      <c r="AF25" s="244"/>
      <c r="AH25" s="243">
        <f t="shared" si="43"/>
        <v>2.0199999999999996</v>
      </c>
      <c r="AI25" s="245">
        <f t="shared" si="1"/>
        <v>2.0199999999999996</v>
      </c>
      <c r="AK25" t="s">
        <v>113</v>
      </c>
      <c r="AL25" s="8">
        <v>4.2455479890806225E-2</v>
      </c>
      <c r="AM25" s="8">
        <v>3.7685644174197543E-2</v>
      </c>
      <c r="AN25" s="8">
        <v>4.1509396773462354E-2</v>
      </c>
      <c r="AO25" s="8">
        <v>0.12165052083846611</v>
      </c>
      <c r="AR25">
        <v>75</v>
      </c>
      <c r="AS25" s="8">
        <v>0.5730148753404567</v>
      </c>
      <c r="AT25" s="8">
        <v>0.28329809725158561</v>
      </c>
      <c r="AU25">
        <v>20429</v>
      </c>
      <c r="AV25">
        <v>4773</v>
      </c>
      <c r="AW25">
        <v>1892</v>
      </c>
      <c r="AX25">
        <v>2735</v>
      </c>
      <c r="AY25">
        <v>536</v>
      </c>
      <c r="BB25" s="14">
        <v>16</v>
      </c>
      <c r="BC25" s="14">
        <v>7451</v>
      </c>
      <c r="BD25" s="14">
        <v>23524</v>
      </c>
      <c r="BE25" s="38">
        <f t="shared" si="53"/>
        <v>0.31674035028056452</v>
      </c>
      <c r="BF25" s="7">
        <f t="shared" si="54"/>
        <v>0.31674035028056452</v>
      </c>
      <c r="BG25" s="7"/>
      <c r="BH25">
        <f t="shared" si="51"/>
        <v>13</v>
      </c>
      <c r="BI25" s="7">
        <f t="shared" si="24"/>
        <v>0.21987315010570824</v>
      </c>
      <c r="BJ25" s="7"/>
      <c r="BK25" s="7"/>
      <c r="BY25" s="14">
        <v>22</v>
      </c>
      <c r="BZ25" s="14">
        <v>12611</v>
      </c>
      <c r="CA25" s="14">
        <v>4135</v>
      </c>
      <c r="CB25" s="14">
        <v>111</v>
      </c>
      <c r="CC25" s="38">
        <f t="shared" si="17"/>
        <v>0.24692463871969425</v>
      </c>
      <c r="CD25" s="15">
        <v>8.9999999999999993E-3</v>
      </c>
      <c r="CE25" s="7">
        <f t="shared" ref="CE25:CE32" si="55">CE24+0.5%</f>
        <v>0.24750000000000005</v>
      </c>
      <c r="CF25" s="49">
        <f t="shared" si="52"/>
        <v>9.2500000000000013E-3</v>
      </c>
      <c r="DA25" s="55"/>
      <c r="DB25" s="55"/>
      <c r="DC25" s="55"/>
      <c r="DD25" s="55"/>
      <c r="DE25" s="55"/>
      <c r="DF25" s="55"/>
      <c r="DH25" s="56">
        <f t="shared" si="28"/>
        <v>-27</v>
      </c>
      <c r="DI25" s="57">
        <f t="shared" si="29"/>
        <v>0.73262500000000008</v>
      </c>
      <c r="DJ25">
        <f t="shared" si="19"/>
        <v>-30.5</v>
      </c>
      <c r="DK25">
        <f t="shared" si="20"/>
        <v>-26.5</v>
      </c>
      <c r="DL25">
        <f t="shared" si="30"/>
        <v>0.875</v>
      </c>
      <c r="DM25">
        <f t="shared" si="31"/>
        <v>0.67400000000000004</v>
      </c>
      <c r="DN25">
        <f t="shared" si="32"/>
        <v>0.74099999999999999</v>
      </c>
      <c r="EE25" s="56">
        <f t="shared" si="34"/>
        <v>-21</v>
      </c>
      <c r="EF25" s="57">
        <f t="shared" si="42"/>
        <v>0.35500000000000004</v>
      </c>
      <c r="EG25">
        <f t="shared" si="21"/>
        <v>-22.5</v>
      </c>
      <c r="EH25">
        <f t="shared" si="22"/>
        <v>-18.5</v>
      </c>
      <c r="EI25">
        <f t="shared" si="35"/>
        <v>0.375</v>
      </c>
      <c r="EJ25">
        <f t="shared" si="36"/>
        <v>0.34</v>
      </c>
      <c r="EK25">
        <f t="shared" si="37"/>
        <v>0.38</v>
      </c>
      <c r="GP25" s="6">
        <f t="shared" si="11"/>
        <v>0.23</v>
      </c>
      <c r="GQ25" s="8">
        <f t="shared" si="46"/>
        <v>0.40064690340199904</v>
      </c>
      <c r="GR25">
        <f t="shared" si="47"/>
        <v>1.4959633819923104</v>
      </c>
      <c r="GS25">
        <v>10</v>
      </c>
      <c r="GT25">
        <f t="shared" si="48"/>
        <v>14.959633819923104</v>
      </c>
      <c r="GU25" s="8">
        <f t="shared" si="49"/>
        <v>0.40064690340199899</v>
      </c>
      <c r="GV25" s="8">
        <f t="shared" si="50"/>
        <v>0.23000000000000004</v>
      </c>
      <c r="HA25">
        <v>2.25</v>
      </c>
      <c r="HB25">
        <f>+AVERAGE(HB24,HB26)</f>
        <v>0.92082320381911276</v>
      </c>
      <c r="HD25">
        <v>19</v>
      </c>
      <c r="HE25" s="8">
        <v>0.89000000000000012</v>
      </c>
    </row>
    <row r="26" spans="1:213" ht="15.75" thickBot="1">
      <c r="A26" s="20">
        <v>-12</v>
      </c>
      <c r="B26" s="27">
        <v>0.10123322341138422</v>
      </c>
      <c r="G26" s="20">
        <v>0</v>
      </c>
      <c r="H26">
        <v>0</v>
      </c>
      <c r="N26" s="20">
        <v>25</v>
      </c>
      <c r="O26" s="1">
        <v>424</v>
      </c>
      <c r="P26" s="1">
        <v>194</v>
      </c>
      <c r="Q26" s="1">
        <v>289</v>
      </c>
      <c r="R26" s="89">
        <v>0.69099999999999995</v>
      </c>
      <c r="S26" s="89">
        <v>0.68160377358490565</v>
      </c>
      <c r="T26" s="1"/>
      <c r="U26" s="93"/>
      <c r="V26" s="93"/>
      <c r="W26" s="93"/>
      <c r="X26" s="93"/>
      <c r="Y26" s="93"/>
      <c r="Z26" s="94"/>
      <c r="AA26" s="112">
        <f t="shared" si="45"/>
        <v>24</v>
      </c>
      <c r="AB26" s="113"/>
      <c r="AE26" s="113"/>
      <c r="AF26" s="244"/>
      <c r="AH26" s="243">
        <f t="shared" si="43"/>
        <v>2.0299999999999994</v>
      </c>
      <c r="AI26" s="245">
        <f t="shared" si="1"/>
        <v>2.0299999999999994</v>
      </c>
      <c r="AK26" t="s">
        <v>114</v>
      </c>
      <c r="AL26" s="8">
        <v>4.3043531704918599E-2</v>
      </c>
      <c r="AM26" s="8">
        <v>3.8140727342968014E-2</v>
      </c>
      <c r="AN26" s="8">
        <v>4.1680861151597089E-2</v>
      </c>
      <c r="AO26" s="8">
        <v>0.1228651201994837</v>
      </c>
      <c r="AR26">
        <v>80</v>
      </c>
      <c r="AS26" s="8">
        <v>0.61827458256029688</v>
      </c>
      <c r="AT26" s="8">
        <v>0.27157001414427157</v>
      </c>
      <c r="AU26">
        <v>9193</v>
      </c>
      <c r="AV26">
        <v>2156</v>
      </c>
      <c r="AW26">
        <v>707</v>
      </c>
      <c r="AX26">
        <v>1333</v>
      </c>
      <c r="AY26">
        <v>192</v>
      </c>
      <c r="BB26" s="14">
        <v>17</v>
      </c>
      <c r="BC26" s="14">
        <v>9626</v>
      </c>
      <c r="BD26" s="14">
        <v>28489</v>
      </c>
      <c r="BE26" s="38">
        <f t="shared" si="53"/>
        <v>0.33788479764119483</v>
      </c>
      <c r="BF26" s="7">
        <f t="shared" si="54"/>
        <v>0.33788479764119483</v>
      </c>
      <c r="BG26" s="7"/>
      <c r="BH26">
        <f t="shared" si="51"/>
        <v>13.5</v>
      </c>
      <c r="BI26" s="7">
        <f t="shared" si="24"/>
        <v>0.23450563963570864</v>
      </c>
      <c r="BJ26" s="7"/>
      <c r="BK26" s="7"/>
      <c r="BY26" s="14">
        <v>23</v>
      </c>
      <c r="BZ26" s="14">
        <v>7732</v>
      </c>
      <c r="CA26" s="14">
        <v>2650</v>
      </c>
      <c r="CB26" s="14">
        <v>66</v>
      </c>
      <c r="CC26" s="38">
        <f t="shared" si="17"/>
        <v>0.25524947023694855</v>
      </c>
      <c r="CD26" s="15">
        <v>8.0000000000000002E-3</v>
      </c>
      <c r="CE26" s="7">
        <f t="shared" si="55"/>
        <v>0.25250000000000006</v>
      </c>
      <c r="CF26" s="49">
        <f t="shared" si="52"/>
        <v>9.5000000000000015E-3</v>
      </c>
      <c r="DA26" s="55"/>
      <c r="DB26" s="55"/>
      <c r="DC26" s="55"/>
      <c r="DD26" s="55"/>
      <c r="DE26" s="55"/>
      <c r="DF26" s="55"/>
      <c r="DH26" s="56">
        <f t="shared" si="28"/>
        <v>-26</v>
      </c>
      <c r="DI26" s="57">
        <f t="shared" si="29"/>
        <v>0.74912500000000004</v>
      </c>
      <c r="DJ26">
        <f t="shared" si="19"/>
        <v>-26.5</v>
      </c>
      <c r="DK26">
        <f t="shared" si="20"/>
        <v>-22.5</v>
      </c>
      <c r="DL26">
        <f t="shared" si="30"/>
        <v>0.125</v>
      </c>
      <c r="DM26">
        <f t="shared" si="31"/>
        <v>0.74099999999999999</v>
      </c>
      <c r="DN26">
        <f t="shared" si="32"/>
        <v>0.80600000000000005</v>
      </c>
      <c r="EE26" s="56">
        <f t="shared" si="34"/>
        <v>-20</v>
      </c>
      <c r="EF26" s="57">
        <f t="shared" si="42"/>
        <v>0.36499999999999999</v>
      </c>
      <c r="EG26">
        <f t="shared" si="21"/>
        <v>-22.5</v>
      </c>
      <c r="EH26">
        <f t="shared" si="22"/>
        <v>-18.5</v>
      </c>
      <c r="EI26">
        <f t="shared" si="35"/>
        <v>0.625</v>
      </c>
      <c r="EJ26">
        <f t="shared" si="36"/>
        <v>0.34</v>
      </c>
      <c r="EK26">
        <f t="shared" si="37"/>
        <v>0.38</v>
      </c>
      <c r="GP26" s="6">
        <f t="shared" si="11"/>
        <v>0.24</v>
      </c>
      <c r="GQ26" s="8">
        <f t="shared" si="46"/>
        <v>0.40510792165921078</v>
      </c>
      <c r="GR26">
        <f t="shared" si="47"/>
        <v>1.468478019151723</v>
      </c>
      <c r="GS26">
        <v>10</v>
      </c>
      <c r="GT26">
        <f t="shared" si="48"/>
        <v>14.684780191517229</v>
      </c>
      <c r="GU26" s="8">
        <f t="shared" si="49"/>
        <v>0.40510792165921083</v>
      </c>
      <c r="GV26" s="8">
        <f t="shared" si="50"/>
        <v>0.24000000000000005</v>
      </c>
      <c r="HA26">
        <v>2.5</v>
      </c>
      <c r="HB26">
        <v>0.91585937638121973</v>
      </c>
      <c r="HD26">
        <v>20</v>
      </c>
      <c r="HE26" s="8">
        <v>0.90000000000000013</v>
      </c>
    </row>
    <row r="27" spans="1:213" ht="15.75" thickBot="1">
      <c r="A27" s="20">
        <v>-11</v>
      </c>
      <c r="B27" s="27">
        <v>0.11607791602294137</v>
      </c>
      <c r="N27" s="20">
        <v>26</v>
      </c>
      <c r="O27" s="1">
        <v>193</v>
      </c>
      <c r="P27" s="1">
        <v>78</v>
      </c>
      <c r="Q27" s="1">
        <v>132</v>
      </c>
      <c r="R27" s="89">
        <v>0.7</v>
      </c>
      <c r="S27" s="89">
        <v>0.68393782383419688</v>
      </c>
      <c r="T27" s="1"/>
      <c r="V27" s="19" t="s">
        <v>361</v>
      </c>
      <c r="W27" s="19"/>
      <c r="X27" s="93"/>
      <c r="Y27" s="93"/>
      <c r="Z27" s="94"/>
      <c r="AA27" s="112">
        <f t="shared" si="45"/>
        <v>25</v>
      </c>
      <c r="AB27" s="113"/>
      <c r="AE27" s="113"/>
      <c r="AF27" s="244"/>
      <c r="AH27" s="243">
        <f t="shared" si="43"/>
        <v>2.0399999999999991</v>
      </c>
      <c r="AI27" s="245">
        <f t="shared" si="1"/>
        <v>2.0399999999999991</v>
      </c>
      <c r="AK27" t="s">
        <v>115</v>
      </c>
      <c r="AL27" s="8">
        <v>4.241271722934313E-2</v>
      </c>
      <c r="AM27" s="8">
        <v>3.6650119779704116E-2</v>
      </c>
      <c r="AN27" s="8">
        <v>4.1194339482848029E-2</v>
      </c>
      <c r="AO27" s="8">
        <v>0.12025717649189527</v>
      </c>
      <c r="AR27">
        <v>85</v>
      </c>
      <c r="AS27" s="8">
        <v>0.67468719923002884</v>
      </c>
      <c r="AT27" s="8">
        <v>0.31071428571428572</v>
      </c>
      <c r="AU27">
        <v>4648</v>
      </c>
      <c r="AV27">
        <v>1039</v>
      </c>
      <c r="AW27">
        <v>280</v>
      </c>
      <c r="AX27">
        <v>701</v>
      </c>
      <c r="AY27">
        <v>87</v>
      </c>
      <c r="BB27" s="14">
        <v>18</v>
      </c>
      <c r="BC27" s="14">
        <v>11627</v>
      </c>
      <c r="BD27" s="14">
        <v>33050</v>
      </c>
      <c r="BE27" s="38">
        <f t="shared" si="53"/>
        <v>0.35180030257186079</v>
      </c>
      <c r="BF27" s="7">
        <f t="shared" si="54"/>
        <v>0.35180030257186079</v>
      </c>
      <c r="BG27" s="7"/>
      <c r="BH27">
        <f t="shared" si="51"/>
        <v>14</v>
      </c>
      <c r="BI27" s="7">
        <f t="shared" si="24"/>
        <v>0.24913812916570904</v>
      </c>
      <c r="BJ27" s="7"/>
      <c r="BK27" s="7"/>
      <c r="BY27" s="14">
        <v>24</v>
      </c>
      <c r="BZ27" s="14">
        <v>4198</v>
      </c>
      <c r="CA27" s="14">
        <v>1408</v>
      </c>
      <c r="CB27" s="14">
        <v>48</v>
      </c>
      <c r="CC27" s="38">
        <f t="shared" si="17"/>
        <v>0.25115947199429184</v>
      </c>
      <c r="CD27" s="15">
        <v>1.0999999999999999E-2</v>
      </c>
      <c r="CE27" s="7">
        <f t="shared" si="55"/>
        <v>0.25750000000000006</v>
      </c>
      <c r="CF27" s="49">
        <f t="shared" si="52"/>
        <v>9.7500000000000017E-3</v>
      </c>
      <c r="DA27" s="55"/>
      <c r="DB27" s="55"/>
      <c r="DC27" s="55"/>
      <c r="DD27" s="55"/>
      <c r="DE27" s="55"/>
      <c r="DF27" s="55"/>
      <c r="DH27" s="56">
        <f t="shared" si="28"/>
        <v>-25</v>
      </c>
      <c r="DI27" s="57">
        <f t="shared" si="29"/>
        <v>0.76537500000000003</v>
      </c>
      <c r="DJ27">
        <f t="shared" si="19"/>
        <v>-26.5</v>
      </c>
      <c r="DK27">
        <f t="shared" si="20"/>
        <v>-22.5</v>
      </c>
      <c r="DL27">
        <f t="shared" si="30"/>
        <v>0.375</v>
      </c>
      <c r="DM27">
        <f t="shared" si="31"/>
        <v>0.74099999999999999</v>
      </c>
      <c r="DN27">
        <f t="shared" si="32"/>
        <v>0.80600000000000005</v>
      </c>
      <c r="EE27" s="56">
        <f t="shared" si="34"/>
        <v>-19</v>
      </c>
      <c r="EF27" s="57">
        <f t="shared" si="42"/>
        <v>0.375</v>
      </c>
      <c r="EG27">
        <f t="shared" si="21"/>
        <v>-22.5</v>
      </c>
      <c r="EH27">
        <f t="shared" si="22"/>
        <v>-18.5</v>
      </c>
      <c r="EI27">
        <f t="shared" si="35"/>
        <v>0.875</v>
      </c>
      <c r="EJ27">
        <f t="shared" si="36"/>
        <v>0.34</v>
      </c>
      <c r="EK27">
        <f t="shared" si="37"/>
        <v>0.38</v>
      </c>
      <c r="GP27" s="6">
        <f t="shared" si="11"/>
        <v>0.25</v>
      </c>
      <c r="GQ27" s="8">
        <f t="shared" si="46"/>
        <v>0.40945856318612395</v>
      </c>
      <c r="GR27">
        <f t="shared" si="47"/>
        <v>1.4422495703074083</v>
      </c>
      <c r="GS27">
        <v>10</v>
      </c>
      <c r="GT27">
        <f t="shared" si="48"/>
        <v>14.422495703074084</v>
      </c>
      <c r="GU27" s="8">
        <f t="shared" si="49"/>
        <v>0.40945856318612395</v>
      </c>
      <c r="GV27" s="8">
        <f t="shared" si="50"/>
        <v>0.25</v>
      </c>
      <c r="HA27">
        <v>2.75</v>
      </c>
      <c r="HB27">
        <f>+AVERAGE(HB26,HB28)</f>
        <v>0.91072866893750382</v>
      </c>
      <c r="HD27">
        <v>21</v>
      </c>
      <c r="HE27" s="8">
        <v>0.91000000000000014</v>
      </c>
    </row>
    <row r="28" spans="1:213" ht="15.75" thickBot="1">
      <c r="A28" s="20">
        <v>-10</v>
      </c>
      <c r="B28" s="27">
        <v>0.13077917653275817</v>
      </c>
      <c r="N28" s="20">
        <v>27</v>
      </c>
      <c r="O28" s="1">
        <v>59</v>
      </c>
      <c r="P28" s="1">
        <v>23</v>
      </c>
      <c r="Q28" s="1">
        <v>38</v>
      </c>
      <c r="R28" s="89">
        <f>R27+0.9%</f>
        <v>0.70899999999999996</v>
      </c>
      <c r="S28" s="89">
        <v>0.64406779661016944</v>
      </c>
      <c r="T28" s="1"/>
      <c r="V28" s="240">
        <v>1</v>
      </c>
      <c r="W28" s="240"/>
      <c r="X28" s="93"/>
      <c r="Y28" s="93"/>
      <c r="Z28" s="94"/>
      <c r="AA28" s="112">
        <f t="shared" si="45"/>
        <v>26</v>
      </c>
      <c r="AB28" s="113"/>
      <c r="AE28" s="113"/>
      <c r="AF28" s="244"/>
      <c r="AH28" s="244">
        <f t="shared" ref="AH28:AH33" si="56">+AH27+0.01</f>
        <v>2.0499999999999989</v>
      </c>
      <c r="AI28" s="245">
        <f t="shared" si="1"/>
        <v>2.0499999999999989</v>
      </c>
      <c r="AK28" t="s">
        <v>116</v>
      </c>
      <c r="AL28" s="8">
        <v>3.936773039069489E-2</v>
      </c>
      <c r="AM28" s="8">
        <v>3.754575278583628E-2</v>
      </c>
      <c r="AN28" s="8">
        <v>3.9671393324837989E-2</v>
      </c>
      <c r="AO28" s="8">
        <v>0.11658487650136916</v>
      </c>
      <c r="AR28">
        <v>90</v>
      </c>
      <c r="AS28" s="8">
        <v>0.69086021505376349</v>
      </c>
      <c r="AT28" s="8">
        <v>0.42391304347826086</v>
      </c>
      <c r="AU28">
        <v>1795</v>
      </c>
      <c r="AV28">
        <v>372</v>
      </c>
      <c r="AW28">
        <v>92</v>
      </c>
      <c r="AX28">
        <v>257</v>
      </c>
      <c r="AY28">
        <v>39</v>
      </c>
      <c r="BB28" s="14">
        <v>19</v>
      </c>
      <c r="BC28" s="14">
        <v>10724</v>
      </c>
      <c r="BD28" s="14">
        <v>29146</v>
      </c>
      <c r="BE28" s="38">
        <f t="shared" si="53"/>
        <v>0.36794071227612707</v>
      </c>
      <c r="BF28" s="7">
        <f t="shared" si="54"/>
        <v>0.36794071227612707</v>
      </c>
      <c r="BG28" s="7"/>
      <c r="BH28">
        <f t="shared" si="51"/>
        <v>14.5</v>
      </c>
      <c r="BI28" s="7">
        <f t="shared" si="24"/>
        <v>0.26809045329953152</v>
      </c>
      <c r="BJ28" s="7"/>
      <c r="BK28" s="7"/>
      <c r="BY28" s="14">
        <v>25</v>
      </c>
      <c r="BZ28" s="14">
        <v>2109</v>
      </c>
      <c r="CA28" s="14">
        <v>792</v>
      </c>
      <c r="CB28" s="14">
        <v>22</v>
      </c>
      <c r="CC28" s="38">
        <f t="shared" si="17"/>
        <v>0.2730093071354705</v>
      </c>
      <c r="CD28" s="15">
        <v>0.01</v>
      </c>
      <c r="CE28" s="7">
        <f t="shared" si="55"/>
        <v>0.26250000000000007</v>
      </c>
      <c r="CF28" s="49">
        <f t="shared" si="52"/>
        <v>1.0000000000000002E-2</v>
      </c>
      <c r="DA28" s="55"/>
      <c r="DB28" s="55"/>
      <c r="DC28" s="55"/>
      <c r="DD28" s="55"/>
      <c r="DE28" s="55"/>
      <c r="DF28" s="55"/>
      <c r="DH28" s="56">
        <f t="shared" si="28"/>
        <v>-24</v>
      </c>
      <c r="DI28" s="57">
        <f t="shared" si="29"/>
        <v>0.78162500000000001</v>
      </c>
      <c r="DJ28">
        <f t="shared" si="19"/>
        <v>-26.5</v>
      </c>
      <c r="DK28">
        <f t="shared" si="20"/>
        <v>-22.5</v>
      </c>
      <c r="DL28">
        <f t="shared" si="30"/>
        <v>0.625</v>
      </c>
      <c r="DM28">
        <f t="shared" si="31"/>
        <v>0.74099999999999999</v>
      </c>
      <c r="DN28">
        <f t="shared" si="32"/>
        <v>0.80600000000000005</v>
      </c>
      <c r="EE28" s="56">
        <f t="shared" si="34"/>
        <v>-18</v>
      </c>
      <c r="EF28" s="57">
        <f t="shared" si="42"/>
        <v>0.38375000000000004</v>
      </c>
      <c r="EG28">
        <f t="shared" si="21"/>
        <v>-18.5</v>
      </c>
      <c r="EH28">
        <f t="shared" si="22"/>
        <v>-14.5</v>
      </c>
      <c r="EI28">
        <f t="shared" si="35"/>
        <v>0.125</v>
      </c>
      <c r="EJ28">
        <f t="shared" si="36"/>
        <v>0.38</v>
      </c>
      <c r="EK28">
        <f t="shared" si="37"/>
        <v>0.41</v>
      </c>
      <c r="GP28" s="6">
        <f t="shared" si="11"/>
        <v>0.26</v>
      </c>
      <c r="GQ28" s="8">
        <f t="shared" si="46"/>
        <v>0.41370833059096385</v>
      </c>
      <c r="GR28">
        <f t="shared" si="47"/>
        <v>1.4171618651515785</v>
      </c>
      <c r="GS28">
        <v>10</v>
      </c>
      <c r="GT28">
        <f t="shared" si="48"/>
        <v>14.171618651515782</v>
      </c>
      <c r="GU28" s="8">
        <f t="shared" si="49"/>
        <v>0.4137083305909639</v>
      </c>
      <c r="GV28" s="8">
        <f t="shared" si="50"/>
        <v>0.26000000000000018</v>
      </c>
      <c r="HA28">
        <v>3</v>
      </c>
      <c r="HB28">
        <v>0.90559796149378802</v>
      </c>
      <c r="HD28">
        <v>22</v>
      </c>
      <c r="HE28" s="8">
        <v>0.92000000000000015</v>
      </c>
    </row>
    <row r="29" spans="1:213" ht="15.75" thickBot="1">
      <c r="A29" s="20">
        <v>-9</v>
      </c>
      <c r="B29" s="27">
        <v>0.14676666615035097</v>
      </c>
      <c r="N29" s="20">
        <v>28</v>
      </c>
      <c r="O29" s="1">
        <v>47</v>
      </c>
      <c r="P29" s="1">
        <v>14</v>
      </c>
      <c r="Q29" s="1">
        <v>38</v>
      </c>
      <c r="R29" s="89">
        <f>R28+0.9%</f>
        <v>0.71799999999999997</v>
      </c>
      <c r="S29" s="89">
        <v>0.80851063829787229</v>
      </c>
      <c r="T29" s="1"/>
      <c r="U29">
        <v>1</v>
      </c>
      <c r="V29" s="241">
        <v>0</v>
      </c>
      <c r="W29" s="242">
        <v>9.3016255267910894E-2</v>
      </c>
      <c r="X29" s="93"/>
      <c r="Y29" s="93"/>
      <c r="Z29" s="94"/>
      <c r="AA29" s="112">
        <f t="shared" si="45"/>
        <v>27</v>
      </c>
      <c r="AB29" s="113"/>
      <c r="AE29" s="113"/>
      <c r="AF29" s="244"/>
      <c r="AH29" s="244">
        <f t="shared" si="56"/>
        <v>2.0599999999999987</v>
      </c>
      <c r="AI29" s="245">
        <f t="shared" si="1"/>
        <v>2.0599999999999987</v>
      </c>
      <c r="AK29" t="s">
        <v>117</v>
      </c>
      <c r="AL29" s="8">
        <v>4.1766499165602287E-2</v>
      </c>
      <c r="AM29" s="8">
        <v>3.7589849249042059E-2</v>
      </c>
      <c r="AN29" s="8">
        <v>4.0237546964004348E-2</v>
      </c>
      <c r="AO29" s="8">
        <v>0.11959389537864869</v>
      </c>
      <c r="BB29" s="14">
        <v>20</v>
      </c>
      <c r="BC29" s="14">
        <v>10031</v>
      </c>
      <c r="BD29" s="14">
        <v>26315</v>
      </c>
      <c r="BE29" s="38">
        <f t="shared" si="53"/>
        <v>0.38118943568307051</v>
      </c>
      <c r="BF29" s="7">
        <f t="shared" si="54"/>
        <v>0.38118943568307051</v>
      </c>
      <c r="BG29" s="7"/>
      <c r="BH29">
        <f t="shared" si="51"/>
        <v>15</v>
      </c>
      <c r="BI29" s="7">
        <f t="shared" si="24"/>
        <v>0.28704277743335399</v>
      </c>
      <c r="BJ29" s="7"/>
      <c r="BK29" s="7"/>
      <c r="BY29" s="14">
        <v>26</v>
      </c>
      <c r="BZ29" s="14">
        <v>611</v>
      </c>
      <c r="CA29" s="14">
        <v>219</v>
      </c>
      <c r="CB29" s="14">
        <v>9</v>
      </c>
      <c r="CC29" s="38">
        <f t="shared" si="17"/>
        <v>0.26385542168674697</v>
      </c>
      <c r="CD29" s="15">
        <v>1.4999999999999999E-2</v>
      </c>
      <c r="CE29" s="7">
        <f t="shared" si="55"/>
        <v>0.26750000000000007</v>
      </c>
      <c r="CF29" s="49">
        <f t="shared" si="52"/>
        <v>1.0250000000000002E-2</v>
      </c>
      <c r="DA29" s="55"/>
      <c r="DB29" s="55"/>
      <c r="DC29" s="55"/>
      <c r="DD29" s="55"/>
      <c r="DE29" s="55"/>
      <c r="DF29" s="55"/>
      <c r="DH29" s="56">
        <f t="shared" si="28"/>
        <v>-23</v>
      </c>
      <c r="DI29" s="57">
        <f t="shared" si="29"/>
        <v>0.797875</v>
      </c>
      <c r="DJ29">
        <f t="shared" si="19"/>
        <v>-26.5</v>
      </c>
      <c r="DK29">
        <f t="shared" si="20"/>
        <v>-22.5</v>
      </c>
      <c r="DL29">
        <f t="shared" si="30"/>
        <v>0.875</v>
      </c>
      <c r="DM29">
        <f t="shared" si="31"/>
        <v>0.74099999999999999</v>
      </c>
      <c r="DN29">
        <f t="shared" si="32"/>
        <v>0.80600000000000005</v>
      </c>
      <c r="EE29" s="56">
        <f t="shared" si="34"/>
        <v>-17</v>
      </c>
      <c r="EF29" s="57">
        <f t="shared" si="42"/>
        <v>0.39124999999999999</v>
      </c>
      <c r="EG29">
        <f t="shared" si="21"/>
        <v>-18.5</v>
      </c>
      <c r="EH29">
        <f t="shared" si="22"/>
        <v>-14.5</v>
      </c>
      <c r="EI29">
        <f t="shared" si="35"/>
        <v>0.375</v>
      </c>
      <c r="EJ29">
        <f t="shared" si="36"/>
        <v>0.38</v>
      </c>
      <c r="EK29">
        <f t="shared" si="37"/>
        <v>0.41</v>
      </c>
      <c r="GP29" s="6">
        <f t="shared" si="11"/>
        <v>0.27</v>
      </c>
      <c r="GQ29" s="8">
        <f t="shared" si="46"/>
        <v>0.41786575587794478</v>
      </c>
      <c r="GR29">
        <f t="shared" si="47"/>
        <v>1.3931130654604105</v>
      </c>
      <c r="GS29">
        <v>10</v>
      </c>
      <c r="GT29">
        <f t="shared" si="48"/>
        <v>13.931130654604104</v>
      </c>
      <c r="GU29" s="8">
        <f t="shared" si="49"/>
        <v>0.41786575587794483</v>
      </c>
      <c r="GV29" s="8">
        <f t="shared" si="50"/>
        <v>0.27000000000000007</v>
      </c>
      <c r="HD29">
        <v>23</v>
      </c>
      <c r="HE29" s="8">
        <v>0.93000000000000016</v>
      </c>
    </row>
    <row r="30" spans="1:213" ht="15.75" thickBot="1">
      <c r="A30" s="20">
        <v>-8</v>
      </c>
      <c r="B30" s="27">
        <v>0.16178956431804925</v>
      </c>
      <c r="P30" s="1" t="s">
        <v>315</v>
      </c>
      <c r="Q30" s="1">
        <v>32</v>
      </c>
      <c r="R30" s="1"/>
      <c r="S30" s="89">
        <v>0.8</v>
      </c>
      <c r="T30" s="1"/>
      <c r="U30">
        <v>1</v>
      </c>
      <c r="V30" s="241">
        <v>1</v>
      </c>
      <c r="W30" s="242">
        <v>6.7182266705362814E-2</v>
      </c>
      <c r="X30" s="93"/>
      <c r="Y30" s="93"/>
      <c r="Z30" s="94"/>
      <c r="AA30" s="112">
        <f t="shared" si="45"/>
        <v>28</v>
      </c>
      <c r="AB30" s="113"/>
      <c r="AE30" s="113"/>
      <c r="AF30" s="244"/>
      <c r="AH30" s="244">
        <f t="shared" si="56"/>
        <v>2.0699999999999985</v>
      </c>
      <c r="AI30" s="245">
        <f t="shared" si="1"/>
        <v>2.0699999999999985</v>
      </c>
      <c r="AK30" t="s">
        <v>118</v>
      </c>
      <c r="AL30" s="8">
        <v>3.9736092367671297E-2</v>
      </c>
      <c r="AM30" s="8">
        <v>3.5687509371719876E-2</v>
      </c>
      <c r="AN30" s="8">
        <v>4.1535462588094145E-2</v>
      </c>
      <c r="AO30" s="8">
        <v>0.11695906432748532</v>
      </c>
      <c r="BB30" s="14">
        <v>21</v>
      </c>
      <c r="BC30" s="14">
        <v>8908</v>
      </c>
      <c r="BD30" s="14">
        <v>22806</v>
      </c>
      <c r="BE30" s="38">
        <f t="shared" si="53"/>
        <v>0.39059896518460052</v>
      </c>
      <c r="BF30" s="7">
        <f t="shared" si="54"/>
        <v>0.39059896518460052</v>
      </c>
      <c r="BG30" s="7"/>
      <c r="BH30">
        <f t="shared" si="51"/>
        <v>15.5</v>
      </c>
      <c r="BI30" s="7">
        <f t="shared" si="24"/>
        <v>0.30189156385695926</v>
      </c>
      <c r="BJ30" s="7"/>
      <c r="BK30" s="7"/>
      <c r="BY30" s="14">
        <v>27</v>
      </c>
      <c r="BZ30" s="14">
        <v>222</v>
      </c>
      <c r="CA30" s="14">
        <v>87</v>
      </c>
      <c r="CB30" s="14">
        <v>2</v>
      </c>
      <c r="CC30" s="38">
        <f t="shared" si="17"/>
        <v>0.28155339805825241</v>
      </c>
      <c r="CD30" s="15">
        <v>8.9999999999999993E-3</v>
      </c>
      <c r="CE30" s="7">
        <f t="shared" si="55"/>
        <v>0.27250000000000008</v>
      </c>
      <c r="CF30" s="49">
        <f t="shared" si="52"/>
        <v>1.0500000000000002E-2</v>
      </c>
      <c r="DA30" s="55"/>
      <c r="DB30" s="55"/>
      <c r="DC30" s="55"/>
      <c r="DD30" s="55"/>
      <c r="DE30" s="55"/>
      <c r="DF30" s="55"/>
      <c r="DH30" s="56">
        <f t="shared" si="28"/>
        <v>-22</v>
      </c>
      <c r="DI30" s="57">
        <f t="shared" si="29"/>
        <v>0.81787500000000002</v>
      </c>
      <c r="DJ30">
        <f t="shared" si="19"/>
        <v>-22.5</v>
      </c>
      <c r="DK30">
        <f t="shared" si="20"/>
        <v>-18.5</v>
      </c>
      <c r="DL30">
        <f t="shared" si="30"/>
        <v>0.125</v>
      </c>
      <c r="DM30">
        <f t="shared" si="31"/>
        <v>0.80600000000000005</v>
      </c>
      <c r="DN30">
        <f t="shared" si="32"/>
        <v>0.90100000000000002</v>
      </c>
      <c r="EE30" s="56">
        <f t="shared" si="34"/>
        <v>-16</v>
      </c>
      <c r="EF30" s="57">
        <f t="shared" si="42"/>
        <v>0.39874999999999999</v>
      </c>
      <c r="EG30">
        <f t="shared" si="21"/>
        <v>-18.5</v>
      </c>
      <c r="EH30">
        <f t="shared" si="22"/>
        <v>-14.5</v>
      </c>
      <c r="EI30">
        <f t="shared" si="35"/>
        <v>0.625</v>
      </c>
      <c r="EJ30">
        <f t="shared" si="36"/>
        <v>0.38</v>
      </c>
      <c r="EK30">
        <f t="shared" si="37"/>
        <v>0.41</v>
      </c>
      <c r="GP30" s="6">
        <f t="shared" si="11"/>
        <v>0.28000000000000003</v>
      </c>
      <c r="GQ30" s="8">
        <f t="shared" si="46"/>
        <v>0.42193853885365956</v>
      </c>
      <c r="GR30">
        <f t="shared" si="47"/>
        <v>1.3700134211888826</v>
      </c>
      <c r="GS30">
        <v>10</v>
      </c>
      <c r="GT30">
        <f t="shared" si="48"/>
        <v>13.700134211888827</v>
      </c>
      <c r="GU30" s="8">
        <f t="shared" si="49"/>
        <v>0.42193853885365956</v>
      </c>
      <c r="GV30" s="8">
        <f t="shared" si="50"/>
        <v>0.28000000000000003</v>
      </c>
      <c r="HD30">
        <v>24</v>
      </c>
      <c r="HE30" s="8">
        <v>0.94000000000000017</v>
      </c>
    </row>
    <row r="31" spans="1:213" ht="15.75" thickBot="1">
      <c r="A31" s="20">
        <v>-7</v>
      </c>
      <c r="B31" s="27">
        <v>0.17641470718226163</v>
      </c>
      <c r="P31" s="1" t="s">
        <v>316</v>
      </c>
      <c r="Q31" s="1"/>
      <c r="R31" s="1"/>
      <c r="S31" s="1"/>
      <c r="T31" s="1"/>
      <c r="U31">
        <v>1</v>
      </c>
      <c r="V31" s="241">
        <v>2</v>
      </c>
      <c r="W31" s="242">
        <v>3.2490209108003792E-2</v>
      </c>
      <c r="X31" s="93"/>
      <c r="Y31" s="93"/>
      <c r="Z31" s="94"/>
      <c r="AA31" s="112">
        <f t="shared" si="45"/>
        <v>29</v>
      </c>
      <c r="AB31" s="113"/>
      <c r="AE31" s="113"/>
      <c r="AF31" s="244"/>
      <c r="AH31" s="244">
        <f t="shared" si="56"/>
        <v>2.0799999999999983</v>
      </c>
      <c r="AI31" s="245">
        <f t="shared" si="1"/>
        <v>2.0799999999999983</v>
      </c>
      <c r="BB31" s="14">
        <v>22</v>
      </c>
      <c r="BC31" s="14">
        <v>8461</v>
      </c>
      <c r="BD31" s="14">
        <v>20792</v>
      </c>
      <c r="BE31" s="38">
        <f t="shared" si="53"/>
        <v>0.40693535975375145</v>
      </c>
      <c r="BF31" s="7">
        <f t="shared" si="54"/>
        <v>0.40693535975375145</v>
      </c>
      <c r="BG31" s="7"/>
      <c r="BH31">
        <f t="shared" si="51"/>
        <v>16</v>
      </c>
      <c r="BI31" s="7">
        <f t="shared" si="24"/>
        <v>0.31674035028056452</v>
      </c>
      <c r="BJ31" s="7"/>
      <c r="BK31" s="7"/>
      <c r="BY31" s="14">
        <v>28</v>
      </c>
      <c r="BZ31" s="14">
        <v>35</v>
      </c>
      <c r="CA31" s="14">
        <v>11</v>
      </c>
      <c r="CB31" s="14">
        <v>0</v>
      </c>
      <c r="CC31" s="38">
        <f t="shared" si="17"/>
        <v>0.2391304347826087</v>
      </c>
      <c r="CD31" s="15">
        <v>0</v>
      </c>
      <c r="CE31" s="7">
        <f t="shared" si="55"/>
        <v>0.27750000000000008</v>
      </c>
      <c r="CF31" s="49">
        <f t="shared" si="52"/>
        <v>1.0750000000000003E-2</v>
      </c>
      <c r="DA31" s="55"/>
      <c r="DB31" s="55"/>
      <c r="DC31" s="55"/>
      <c r="DD31" s="55"/>
      <c r="DE31" s="55"/>
      <c r="DF31" s="55"/>
      <c r="DH31" s="56">
        <f t="shared" si="28"/>
        <v>-21</v>
      </c>
      <c r="DI31" s="57">
        <f t="shared" si="29"/>
        <v>0.84162500000000007</v>
      </c>
      <c r="DJ31">
        <f t="shared" si="19"/>
        <v>-22.5</v>
      </c>
      <c r="DK31">
        <f t="shared" si="20"/>
        <v>-18.5</v>
      </c>
      <c r="DL31">
        <f t="shared" si="30"/>
        <v>0.375</v>
      </c>
      <c r="DM31">
        <f t="shared" si="31"/>
        <v>0.80600000000000005</v>
      </c>
      <c r="DN31">
        <f t="shared" si="32"/>
        <v>0.90100000000000002</v>
      </c>
      <c r="EE31" s="56">
        <f t="shared" si="34"/>
        <v>-15</v>
      </c>
      <c r="EF31" s="57">
        <f t="shared" si="42"/>
        <v>0.40624999999999994</v>
      </c>
      <c r="EG31">
        <f t="shared" si="21"/>
        <v>-18.5</v>
      </c>
      <c r="EH31">
        <f t="shared" si="22"/>
        <v>-14.5</v>
      </c>
      <c r="EI31">
        <f t="shared" si="35"/>
        <v>0.875</v>
      </c>
      <c r="EJ31">
        <f t="shared" si="36"/>
        <v>0.38</v>
      </c>
      <c r="EK31">
        <f t="shared" si="37"/>
        <v>0.41</v>
      </c>
      <c r="GP31" s="6">
        <f t="shared" si="11"/>
        <v>0.28999999999999998</v>
      </c>
      <c r="GQ31" s="8">
        <f t="shared" si="46"/>
        <v>0.42593366222334045</v>
      </c>
      <c r="GR31">
        <f t="shared" si="47"/>
        <v>1.3477834430368292</v>
      </c>
      <c r="GS31">
        <v>10</v>
      </c>
      <c r="GT31">
        <f t="shared" si="48"/>
        <v>13.477834430368288</v>
      </c>
      <c r="GU31" s="8">
        <f t="shared" si="49"/>
        <v>0.42593366222334045</v>
      </c>
      <c r="GV31" s="8">
        <f t="shared" si="50"/>
        <v>0.2900000000000002</v>
      </c>
      <c r="HD31">
        <v>25</v>
      </c>
      <c r="HE31" s="8">
        <v>0.95000000000000018</v>
      </c>
    </row>
    <row r="32" spans="1:213" ht="15.75" thickBot="1">
      <c r="A32" s="20">
        <v>-6</v>
      </c>
      <c r="B32" s="27">
        <v>0.19284541574487776</v>
      </c>
      <c r="T32" s="1"/>
      <c r="U32">
        <v>1</v>
      </c>
      <c r="V32" s="241">
        <v>3</v>
      </c>
      <c r="W32" s="242">
        <v>1.878394313331451E-2</v>
      </c>
      <c r="X32" s="93"/>
      <c r="Y32" s="93"/>
      <c r="Z32" s="94"/>
      <c r="AA32" s="112">
        <f t="shared" si="45"/>
        <v>30</v>
      </c>
      <c r="AB32" s="113"/>
      <c r="AE32" s="113"/>
      <c r="AF32" s="244"/>
      <c r="AH32" s="244">
        <f t="shared" si="56"/>
        <v>2.0899999999999981</v>
      </c>
      <c r="AI32" s="245">
        <f t="shared" si="1"/>
        <v>2.0899999999999981</v>
      </c>
      <c r="BB32" s="14">
        <v>23</v>
      </c>
      <c r="BC32" s="14">
        <v>6592</v>
      </c>
      <c r="BD32" s="14">
        <v>15835</v>
      </c>
      <c r="BE32" s="38">
        <f t="shared" si="53"/>
        <v>0.41629302178718031</v>
      </c>
      <c r="BF32" s="7">
        <f t="shared" si="54"/>
        <v>0.41629302178718031</v>
      </c>
      <c r="BG32" s="7"/>
      <c r="BH32">
        <f t="shared" si="51"/>
        <v>16.5</v>
      </c>
      <c r="BI32" s="7">
        <f t="shared" si="24"/>
        <v>0.32731257396087965</v>
      </c>
      <c r="BJ32" s="7"/>
      <c r="BK32" s="7"/>
      <c r="BY32" s="14">
        <v>29</v>
      </c>
      <c r="BZ32" s="14">
        <v>22</v>
      </c>
      <c r="CA32" s="14">
        <v>11</v>
      </c>
      <c r="CB32" s="14">
        <v>0</v>
      </c>
      <c r="CC32" s="38">
        <f t="shared" si="17"/>
        <v>0.33333333333333331</v>
      </c>
      <c r="CD32" s="15">
        <v>0</v>
      </c>
      <c r="CE32" s="7">
        <f t="shared" si="55"/>
        <v>0.28250000000000008</v>
      </c>
      <c r="CF32" s="49">
        <f t="shared" si="52"/>
        <v>1.1000000000000003E-2</v>
      </c>
      <c r="DA32" s="55"/>
      <c r="DB32" s="55"/>
      <c r="DC32" s="55"/>
      <c r="DD32" s="55"/>
      <c r="DE32" s="55"/>
      <c r="DF32" s="55"/>
      <c r="DH32" s="56">
        <f t="shared" si="28"/>
        <v>-20</v>
      </c>
      <c r="DI32" s="57">
        <f t="shared" si="29"/>
        <v>0.86537500000000001</v>
      </c>
      <c r="DJ32">
        <f t="shared" si="19"/>
        <v>-22.5</v>
      </c>
      <c r="DK32">
        <f t="shared" si="20"/>
        <v>-18.5</v>
      </c>
      <c r="DL32">
        <f t="shared" si="30"/>
        <v>0.625</v>
      </c>
      <c r="DM32">
        <f t="shared" si="31"/>
        <v>0.80600000000000005</v>
      </c>
      <c r="DN32">
        <f t="shared" si="32"/>
        <v>0.90100000000000002</v>
      </c>
      <c r="EE32" s="56">
        <f t="shared" si="34"/>
        <v>-14</v>
      </c>
      <c r="EF32" s="57">
        <f t="shared" si="42"/>
        <v>0.41499999999999998</v>
      </c>
      <c r="EG32">
        <f t="shared" si="21"/>
        <v>-14.5</v>
      </c>
      <c r="EH32">
        <f t="shared" si="22"/>
        <v>-10.5</v>
      </c>
      <c r="EI32">
        <f t="shared" si="35"/>
        <v>0.125</v>
      </c>
      <c r="EJ32">
        <f t="shared" si="36"/>
        <v>0.41</v>
      </c>
      <c r="EK32">
        <f t="shared" si="37"/>
        <v>0.45</v>
      </c>
      <c r="GP32" s="6">
        <f t="shared" si="11"/>
        <v>0.3</v>
      </c>
      <c r="GQ32" s="8">
        <f t="shared" si="46"/>
        <v>0.42985748800076845</v>
      </c>
      <c r="GR32">
        <f t="shared" si="47"/>
        <v>1.3263524026321307</v>
      </c>
      <c r="GS32">
        <v>10</v>
      </c>
      <c r="GT32">
        <f t="shared" si="48"/>
        <v>13.263524026321308</v>
      </c>
      <c r="GU32" s="8">
        <f t="shared" si="49"/>
        <v>0.42985748800076845</v>
      </c>
      <c r="GV32" s="8">
        <f t="shared" si="50"/>
        <v>0.29999999999999988</v>
      </c>
      <c r="HD32">
        <v>26</v>
      </c>
      <c r="HE32" s="8">
        <v>0.96000000000000019</v>
      </c>
    </row>
    <row r="33" spans="1:213" ht="15.75" thickBot="1">
      <c r="A33" s="20">
        <v>-5</v>
      </c>
      <c r="B33" s="27">
        <v>0.20908269159007031</v>
      </c>
      <c r="T33" s="1"/>
      <c r="V33" s="240">
        <v>2</v>
      </c>
      <c r="W33" s="240"/>
      <c r="X33" s="93"/>
      <c r="Y33" s="93"/>
      <c r="Z33" s="94"/>
      <c r="AA33" s="112">
        <f t="shared" si="45"/>
        <v>31</v>
      </c>
      <c r="AB33" s="113"/>
      <c r="AE33" s="113"/>
      <c r="AF33" s="244"/>
      <c r="AH33" s="244">
        <f t="shared" si="56"/>
        <v>2.0999999999999979</v>
      </c>
      <c r="AI33" s="245">
        <f t="shared" si="1"/>
        <v>2.0999999999999979</v>
      </c>
      <c r="BB33" s="14">
        <v>24</v>
      </c>
      <c r="BC33" s="14">
        <v>4998</v>
      </c>
      <c r="BD33" s="14">
        <v>11733</v>
      </c>
      <c r="BE33" s="38">
        <f t="shared" si="53"/>
        <v>0.42597801073894143</v>
      </c>
      <c r="BF33" s="7">
        <f t="shared" si="54"/>
        <v>0.42597801073894143</v>
      </c>
      <c r="BG33" s="7"/>
      <c r="BH33">
        <f t="shared" si="51"/>
        <v>17</v>
      </c>
      <c r="BI33" s="7">
        <f t="shared" si="24"/>
        <v>0.33788479764119483</v>
      </c>
      <c r="BJ33" s="7"/>
      <c r="BK33" s="7"/>
      <c r="DA33" s="55"/>
      <c r="DB33" s="55"/>
      <c r="DC33" s="55"/>
      <c r="DD33" s="55"/>
      <c r="DE33" s="55"/>
      <c r="DF33" s="55"/>
      <c r="DH33" s="56">
        <f t="shared" si="28"/>
        <v>-19</v>
      </c>
      <c r="DI33" s="57">
        <f t="shared" si="29"/>
        <v>0.88912500000000005</v>
      </c>
      <c r="DJ33">
        <f t="shared" si="19"/>
        <v>-22.5</v>
      </c>
      <c r="DK33">
        <f t="shared" si="20"/>
        <v>-18.5</v>
      </c>
      <c r="DL33">
        <f t="shared" si="30"/>
        <v>0.875</v>
      </c>
      <c r="DM33">
        <f t="shared" si="31"/>
        <v>0.80600000000000005</v>
      </c>
      <c r="DN33">
        <f t="shared" si="32"/>
        <v>0.90100000000000002</v>
      </c>
      <c r="EE33" s="56">
        <f t="shared" si="34"/>
        <v>-13</v>
      </c>
      <c r="EF33" s="57">
        <f t="shared" si="42"/>
        <v>0.42499999999999999</v>
      </c>
      <c r="EG33">
        <f t="shared" si="21"/>
        <v>-14.5</v>
      </c>
      <c r="EH33">
        <f t="shared" si="22"/>
        <v>-10.5</v>
      </c>
      <c r="EI33">
        <f t="shared" si="35"/>
        <v>0.375</v>
      </c>
      <c r="EJ33">
        <f t="shared" si="36"/>
        <v>0.41</v>
      </c>
      <c r="EK33">
        <f t="shared" si="37"/>
        <v>0.45</v>
      </c>
      <c r="GP33" s="6">
        <f t="shared" si="11"/>
        <v>0.31</v>
      </c>
      <c r="GQ33" s="8">
        <f t="shared" si="46"/>
        <v>0.43371583882140197</v>
      </c>
      <c r="GR33">
        <f t="shared" si="47"/>
        <v>1.3056570927117694</v>
      </c>
      <c r="GS33">
        <v>10</v>
      </c>
      <c r="GT33">
        <f t="shared" si="48"/>
        <v>13.056570927117694</v>
      </c>
      <c r="GU33" s="8">
        <f t="shared" si="49"/>
        <v>0.43371583882140197</v>
      </c>
      <c r="GV33" s="8">
        <f t="shared" si="50"/>
        <v>0.31</v>
      </c>
      <c r="HD33">
        <v>27</v>
      </c>
      <c r="HE33" s="8">
        <v>0.9700000000000002</v>
      </c>
    </row>
    <row r="34" spans="1:213" ht="15.75" thickBot="1">
      <c r="A34" s="20">
        <v>-4</v>
      </c>
      <c r="B34" s="27">
        <v>0.22487442650527542</v>
      </c>
      <c r="T34" s="1"/>
      <c r="U34">
        <v>2</v>
      </c>
      <c r="V34" s="241">
        <v>0</v>
      </c>
      <c r="W34" s="242">
        <v>0.13652663037135696</v>
      </c>
      <c r="X34" s="93"/>
      <c r="Y34" s="95"/>
      <c r="Z34" s="94"/>
      <c r="AA34" s="112"/>
      <c r="AB34" s="113"/>
      <c r="AE34" s="113"/>
      <c r="AF34" s="114"/>
      <c r="BB34" s="14">
        <v>25</v>
      </c>
      <c r="BC34" s="14">
        <v>3564</v>
      </c>
      <c r="BD34" s="14">
        <v>8343</v>
      </c>
      <c r="BE34" s="38">
        <f t="shared" si="53"/>
        <v>0.42718446601941745</v>
      </c>
      <c r="BF34" s="7">
        <v>0.43099999999999999</v>
      </c>
      <c r="BG34" s="7"/>
      <c r="BH34">
        <f t="shared" si="51"/>
        <v>17.5</v>
      </c>
      <c r="BI34" s="7">
        <f t="shared" si="24"/>
        <v>0.34484255010652781</v>
      </c>
      <c r="BJ34" s="7"/>
      <c r="BK34" s="7"/>
      <c r="DA34" s="55"/>
      <c r="DB34" s="55"/>
      <c r="DC34" s="55"/>
      <c r="DD34" s="55"/>
      <c r="DE34" s="55"/>
      <c r="DF34" s="55"/>
      <c r="DH34" s="56">
        <f t="shared" si="28"/>
        <v>-18</v>
      </c>
      <c r="DI34" s="57">
        <f t="shared" si="29"/>
        <v>0.90275000000000005</v>
      </c>
      <c r="DJ34">
        <f t="shared" si="19"/>
        <v>-18.5</v>
      </c>
      <c r="DK34">
        <f t="shared" si="20"/>
        <v>-14.5</v>
      </c>
      <c r="DL34">
        <f t="shared" si="30"/>
        <v>0.125</v>
      </c>
      <c r="DM34">
        <f t="shared" si="31"/>
        <v>0.90100000000000002</v>
      </c>
      <c r="DN34">
        <f t="shared" si="32"/>
        <v>0.91500000000000004</v>
      </c>
      <c r="EE34" s="56">
        <f t="shared" si="34"/>
        <v>-12</v>
      </c>
      <c r="EF34" s="57">
        <f t="shared" si="42"/>
        <v>0.435</v>
      </c>
      <c r="EG34">
        <f t="shared" si="21"/>
        <v>-14.5</v>
      </c>
      <c r="EH34">
        <f t="shared" si="22"/>
        <v>-10.5</v>
      </c>
      <c r="EI34">
        <f t="shared" si="35"/>
        <v>0.625</v>
      </c>
      <c r="EJ34">
        <f t="shared" si="36"/>
        <v>0.41</v>
      </c>
      <c r="EK34">
        <f t="shared" si="37"/>
        <v>0.45</v>
      </c>
      <c r="GP34" s="6">
        <f t="shared" si="11"/>
        <v>0.32</v>
      </c>
      <c r="GQ34" s="8">
        <f t="shared" si="46"/>
        <v>0.43751406697131789</v>
      </c>
      <c r="GR34">
        <f t="shared" si="47"/>
        <v>1.2856407953291178</v>
      </c>
      <c r="GS34">
        <v>10</v>
      </c>
      <c r="GT34">
        <f t="shared" si="48"/>
        <v>12.856407953291178</v>
      </c>
      <c r="GU34" s="8">
        <f t="shared" si="49"/>
        <v>0.43751406697131789</v>
      </c>
      <c r="GV34" s="8">
        <f t="shared" si="50"/>
        <v>0.31999999999999995</v>
      </c>
      <c r="HD34">
        <v>28</v>
      </c>
      <c r="HE34" s="8">
        <v>0.9800000000000002</v>
      </c>
    </row>
    <row r="35" spans="1:213" ht="15.75" thickBot="1">
      <c r="A35" s="20">
        <v>-3</v>
      </c>
      <c r="B35" s="27">
        <v>0.24271270190947175</v>
      </c>
      <c r="T35" s="1"/>
      <c r="U35">
        <v>2</v>
      </c>
      <c r="V35" s="241">
        <v>1</v>
      </c>
      <c r="W35" s="242">
        <v>9.8608232158720763E-2</v>
      </c>
      <c r="X35" s="93"/>
      <c r="Y35" s="95"/>
      <c r="Z35" s="94"/>
      <c r="AA35" s="112"/>
      <c r="AB35" s="113"/>
      <c r="AE35" s="113"/>
      <c r="AF35" s="114"/>
      <c r="BB35" s="14">
        <v>26</v>
      </c>
      <c r="BC35" s="14">
        <v>1876</v>
      </c>
      <c r="BD35" s="14">
        <v>4315</v>
      </c>
      <c r="BE35" s="38">
        <f t="shared" si="53"/>
        <v>0.4347624565469293</v>
      </c>
      <c r="BF35" s="7">
        <f>BF34+0.5%</f>
        <v>0.436</v>
      </c>
      <c r="BG35" s="7"/>
      <c r="BH35">
        <f t="shared" si="51"/>
        <v>18</v>
      </c>
      <c r="BI35" s="7">
        <f t="shared" si="24"/>
        <v>0.35180030257186079</v>
      </c>
      <c r="BJ35" s="7"/>
      <c r="BK35" s="7"/>
      <c r="DA35" s="55"/>
      <c r="DB35" s="55"/>
      <c r="DC35" s="55"/>
      <c r="DD35" s="55"/>
      <c r="DE35" s="55"/>
      <c r="DF35" s="55"/>
      <c r="DH35" s="56">
        <f t="shared" si="28"/>
        <v>-17</v>
      </c>
      <c r="DI35" s="57">
        <f t="shared" si="29"/>
        <v>0.90625</v>
      </c>
      <c r="DJ35">
        <f t="shared" si="19"/>
        <v>-18.5</v>
      </c>
      <c r="DK35">
        <f t="shared" si="20"/>
        <v>-14.5</v>
      </c>
      <c r="DL35">
        <f t="shared" si="30"/>
        <v>0.375</v>
      </c>
      <c r="DM35">
        <f t="shared" si="31"/>
        <v>0.90100000000000002</v>
      </c>
      <c r="DN35">
        <f t="shared" si="32"/>
        <v>0.91500000000000004</v>
      </c>
      <c r="EE35" s="56">
        <f t="shared" si="34"/>
        <v>-11</v>
      </c>
      <c r="EF35" s="57">
        <f t="shared" si="42"/>
        <v>0.44500000000000001</v>
      </c>
      <c r="EG35">
        <f t="shared" si="21"/>
        <v>-14.5</v>
      </c>
      <c r="EH35">
        <f t="shared" si="22"/>
        <v>-10.5</v>
      </c>
      <c r="EI35">
        <f t="shared" si="35"/>
        <v>0.875</v>
      </c>
      <c r="EJ35">
        <f t="shared" si="36"/>
        <v>0.41</v>
      </c>
      <c r="EK35">
        <f t="shared" si="37"/>
        <v>0.45</v>
      </c>
      <c r="GP35" s="6">
        <f t="shared" si="11"/>
        <v>0.33</v>
      </c>
      <c r="GQ35" s="8">
        <f t="shared" si="46"/>
        <v>0.44125711335495327</v>
      </c>
      <c r="GR35">
        <f t="shared" si="47"/>
        <v>1.2662524177725525</v>
      </c>
      <c r="GS35">
        <v>10</v>
      </c>
      <c r="GT35">
        <f t="shared" si="48"/>
        <v>12.662524177725524</v>
      </c>
      <c r="GU35" s="8">
        <f t="shared" si="49"/>
        <v>0.44125711335495327</v>
      </c>
      <c r="GV35" s="8">
        <f t="shared" si="50"/>
        <v>0.33</v>
      </c>
      <c r="HD35">
        <v>29</v>
      </c>
      <c r="HE35" s="8">
        <v>0.99000000000000021</v>
      </c>
    </row>
    <row r="36" spans="1:213" ht="15.75" thickBot="1">
      <c r="A36" s="20">
        <v>-2</v>
      </c>
      <c r="B36" s="27">
        <v>0.27522935779816515</v>
      </c>
      <c r="T36" s="1"/>
      <c r="U36">
        <v>2</v>
      </c>
      <c r="V36" s="241">
        <v>2</v>
      </c>
      <c r="W36" s="242">
        <v>4.7688210590722431E-2</v>
      </c>
      <c r="X36" s="93"/>
      <c r="Y36" s="95"/>
      <c r="Z36" s="94"/>
      <c r="AA36" s="112"/>
      <c r="AB36" s="113"/>
      <c r="AE36" s="113"/>
      <c r="AF36" s="114"/>
      <c r="BB36" s="14">
        <v>27</v>
      </c>
      <c r="BC36" s="14">
        <v>1265</v>
      </c>
      <c r="BD36" s="14">
        <v>2895</v>
      </c>
      <c r="BE36" s="38">
        <f t="shared" si="53"/>
        <v>0.4369602763385147</v>
      </c>
      <c r="BF36" s="7">
        <f t="shared" ref="BF36:BF42" si="57">BF35+0.5%</f>
        <v>0.441</v>
      </c>
      <c r="BG36" s="7"/>
      <c r="BH36">
        <f t="shared" si="51"/>
        <v>18.5</v>
      </c>
      <c r="BI36" s="7">
        <f t="shared" si="24"/>
        <v>0.35987050742399396</v>
      </c>
      <c r="BJ36" s="7"/>
      <c r="BK36" s="7"/>
      <c r="DA36" s="55"/>
      <c r="DB36" s="55"/>
      <c r="DC36" s="55"/>
      <c r="DD36" s="55"/>
      <c r="DE36" s="55"/>
      <c r="DF36" s="55"/>
      <c r="DH36" s="56">
        <f t="shared" si="28"/>
        <v>-16</v>
      </c>
      <c r="DI36" s="57">
        <f t="shared" si="29"/>
        <v>0.90975000000000006</v>
      </c>
      <c r="DJ36">
        <f t="shared" si="19"/>
        <v>-18.5</v>
      </c>
      <c r="DK36">
        <f t="shared" si="20"/>
        <v>-14.5</v>
      </c>
      <c r="DL36">
        <f t="shared" si="30"/>
        <v>0.625</v>
      </c>
      <c r="DM36">
        <f t="shared" si="31"/>
        <v>0.90100000000000002</v>
      </c>
      <c r="DN36">
        <f t="shared" si="32"/>
        <v>0.91500000000000004</v>
      </c>
      <c r="EE36" s="56">
        <f t="shared" si="34"/>
        <v>-10</v>
      </c>
      <c r="EF36" s="57">
        <f t="shared" si="42"/>
        <v>0.45499999999999996</v>
      </c>
      <c r="EG36">
        <f t="shared" si="21"/>
        <v>-10.5</v>
      </c>
      <c r="EH36">
        <f t="shared" si="22"/>
        <v>-6.5</v>
      </c>
      <c r="EI36">
        <f t="shared" si="35"/>
        <v>0.125</v>
      </c>
      <c r="EJ36">
        <f t="shared" si="36"/>
        <v>0.45</v>
      </c>
      <c r="EK36">
        <f t="shared" si="37"/>
        <v>0.49</v>
      </c>
      <c r="GP36" s="6">
        <f t="shared" si="11"/>
        <v>0.34</v>
      </c>
      <c r="GQ36" s="8">
        <f t="shared" si="46"/>
        <v>0.4449495581730194</v>
      </c>
      <c r="GR36">
        <f t="shared" si="47"/>
        <v>1.247445764652604</v>
      </c>
      <c r="GS36">
        <v>10</v>
      </c>
      <c r="GT36">
        <f t="shared" si="48"/>
        <v>12.474457646526043</v>
      </c>
      <c r="GU36" s="8">
        <f t="shared" si="49"/>
        <v>0.44494955817301945</v>
      </c>
      <c r="GV36" s="8">
        <f t="shared" si="50"/>
        <v>0.33999999999999991</v>
      </c>
    </row>
    <row r="37" spans="1:213" ht="15.75" thickBot="1">
      <c r="A37" s="20">
        <v>-1</v>
      </c>
      <c r="B37" s="27">
        <v>0.36633663366336633</v>
      </c>
      <c r="T37" s="1"/>
      <c r="U37">
        <v>2</v>
      </c>
      <c r="V37" s="241">
        <v>3</v>
      </c>
      <c r="W37" s="242">
        <v>2.757054080162839E-2</v>
      </c>
      <c r="X37" s="93"/>
      <c r="Y37" s="95"/>
      <c r="Z37" s="94"/>
      <c r="AA37" s="112"/>
      <c r="AB37" s="113"/>
      <c r="AE37" s="113"/>
      <c r="AF37" s="114"/>
      <c r="BB37" s="14">
        <v>28</v>
      </c>
      <c r="BC37" s="14">
        <v>493</v>
      </c>
      <c r="BD37" s="14">
        <v>1144</v>
      </c>
      <c r="BE37" s="38">
        <f t="shared" si="53"/>
        <v>0.43094405594405594</v>
      </c>
      <c r="BF37" s="7">
        <f t="shared" si="57"/>
        <v>0.44600000000000001</v>
      </c>
      <c r="BG37" s="7"/>
      <c r="BH37">
        <f t="shared" si="51"/>
        <v>19</v>
      </c>
      <c r="BI37" s="7">
        <f t="shared" si="24"/>
        <v>0.36794071227612707</v>
      </c>
      <c r="BJ37" s="7"/>
      <c r="BK37" s="7"/>
      <c r="DH37" s="56">
        <f t="shared" si="28"/>
        <v>-15</v>
      </c>
      <c r="DI37" s="57">
        <f t="shared" si="29"/>
        <v>0.91325000000000001</v>
      </c>
      <c r="DJ37">
        <f t="shared" si="19"/>
        <v>-18.5</v>
      </c>
      <c r="DK37">
        <f t="shared" si="20"/>
        <v>-14.5</v>
      </c>
      <c r="DL37">
        <f t="shared" si="30"/>
        <v>0.875</v>
      </c>
      <c r="DM37">
        <f t="shared" si="31"/>
        <v>0.90100000000000002</v>
      </c>
      <c r="DN37">
        <f t="shared" si="32"/>
        <v>0.91500000000000004</v>
      </c>
      <c r="EE37" s="56">
        <f t="shared" si="34"/>
        <v>-9</v>
      </c>
      <c r="EF37" s="57">
        <f t="shared" si="42"/>
        <v>0.46499999999999997</v>
      </c>
      <c r="EG37">
        <f t="shared" si="21"/>
        <v>-10.5</v>
      </c>
      <c r="EH37">
        <f t="shared" si="22"/>
        <v>-6.5</v>
      </c>
      <c r="EI37">
        <f t="shared" si="35"/>
        <v>0.375</v>
      </c>
      <c r="EJ37">
        <f t="shared" si="36"/>
        <v>0.45</v>
      </c>
      <c r="EK37">
        <f t="shared" si="37"/>
        <v>0.49</v>
      </c>
      <c r="GP37" s="6">
        <f t="shared" si="11"/>
        <v>0.35</v>
      </c>
      <c r="GQ37" s="8">
        <f t="shared" si="46"/>
        <v>0.44859566473306356</v>
      </c>
      <c r="GR37">
        <f t="shared" si="47"/>
        <v>1.2291789212788069</v>
      </c>
      <c r="GS37">
        <v>10</v>
      </c>
      <c r="GT37">
        <f t="shared" si="48"/>
        <v>12.291789212788071</v>
      </c>
      <c r="GU37" s="8">
        <f t="shared" si="49"/>
        <v>0.44859566473306356</v>
      </c>
      <c r="GV37" s="8">
        <f t="shared" si="50"/>
        <v>0.34999999999999992</v>
      </c>
    </row>
    <row r="38" spans="1:213" ht="15.75" thickBot="1">
      <c r="A38" s="20">
        <v>0</v>
      </c>
      <c r="B38" s="27">
        <v>0.45217636286800961</v>
      </c>
      <c r="T38" s="1"/>
      <c r="V38" s="240">
        <v>3</v>
      </c>
      <c r="W38" s="240"/>
      <c r="X38" s="93"/>
      <c r="Y38" s="95"/>
      <c r="Z38" s="94"/>
      <c r="AA38" s="112"/>
      <c r="AB38" s="113"/>
      <c r="AE38" s="113"/>
      <c r="AF38" s="114"/>
      <c r="BB38" s="14">
        <v>29</v>
      </c>
      <c r="BC38" s="14">
        <v>216</v>
      </c>
      <c r="BD38" s="14">
        <v>479</v>
      </c>
      <c r="BE38" s="38">
        <f t="shared" si="53"/>
        <v>0.45093945720250522</v>
      </c>
      <c r="BF38" s="7">
        <f t="shared" si="57"/>
        <v>0.45100000000000001</v>
      </c>
      <c r="BG38" s="7"/>
      <c r="BH38">
        <f t="shared" si="51"/>
        <v>19.5</v>
      </c>
      <c r="BI38" s="7">
        <f t="shared" si="24"/>
        <v>0.37456507397959882</v>
      </c>
      <c r="BJ38" s="7"/>
      <c r="BK38" s="7"/>
      <c r="DH38" s="56">
        <f t="shared" si="28"/>
        <v>-14</v>
      </c>
      <c r="DI38" s="57">
        <f t="shared" si="29"/>
        <v>0.92275000000000007</v>
      </c>
      <c r="DJ38">
        <f t="shared" ref="DJ38:DJ69" si="58">VLOOKUP(DH38,$DD$5:$DD$24,1,TRUE)</f>
        <v>-14.5</v>
      </c>
      <c r="DK38">
        <f t="shared" ref="DK38:DK69" si="59">VLOOKUP(DH38,$DD$5:$DD$24,1,TRUE)+4</f>
        <v>-10.5</v>
      </c>
      <c r="DL38">
        <f t="shared" si="30"/>
        <v>0.125</v>
      </c>
      <c r="DM38">
        <f t="shared" si="31"/>
        <v>0.91500000000000004</v>
      </c>
      <c r="DN38">
        <f t="shared" si="32"/>
        <v>0.97699999999999998</v>
      </c>
      <c r="EE38" s="56">
        <f t="shared" si="34"/>
        <v>-8</v>
      </c>
      <c r="EF38" s="57">
        <f t="shared" si="42"/>
        <v>0.47500000000000003</v>
      </c>
      <c r="EG38">
        <f t="shared" si="21"/>
        <v>-10.5</v>
      </c>
      <c r="EH38">
        <f t="shared" si="22"/>
        <v>-6.5</v>
      </c>
      <c r="EI38">
        <f t="shared" si="35"/>
        <v>0.625</v>
      </c>
      <c r="EJ38">
        <f t="shared" si="36"/>
        <v>0.45</v>
      </c>
      <c r="EK38">
        <f t="shared" si="37"/>
        <v>0.49</v>
      </c>
      <c r="GP38" s="6">
        <f t="shared" si="11"/>
        <v>0.36</v>
      </c>
      <c r="GQ38" s="8">
        <f t="shared" si="46"/>
        <v>0.45219941754342674</v>
      </c>
      <c r="GR38">
        <f t="shared" si="47"/>
        <v>1.2114137285547597</v>
      </c>
      <c r="GS38">
        <v>10</v>
      </c>
      <c r="GT38">
        <f t="shared" si="48"/>
        <v>12.114137285547598</v>
      </c>
      <c r="GU38" s="8">
        <f t="shared" si="49"/>
        <v>0.45219941754342674</v>
      </c>
      <c r="GV38" s="8">
        <f t="shared" si="50"/>
        <v>0.36000000000000004</v>
      </c>
    </row>
    <row r="39" spans="1:213" ht="15.75" thickBot="1">
      <c r="A39" s="20">
        <v>1</v>
      </c>
      <c r="B39" s="27">
        <v>0.52500000000000002</v>
      </c>
      <c r="U39">
        <v>3</v>
      </c>
      <c r="V39" s="241">
        <v>0</v>
      </c>
      <c r="W39" s="242">
        <v>0.17065828796419619</v>
      </c>
      <c r="X39" s="96"/>
      <c r="Y39" s="97"/>
      <c r="Z39" s="100"/>
      <c r="AA39" s="126"/>
      <c r="AB39" s="122"/>
      <c r="AE39" s="122"/>
      <c r="AF39" s="127"/>
      <c r="BB39" s="14">
        <v>30</v>
      </c>
      <c r="BC39" s="14">
        <v>84</v>
      </c>
      <c r="BD39" s="14">
        <v>179</v>
      </c>
      <c r="BE39" s="38">
        <f t="shared" si="53"/>
        <v>0.46927374301675978</v>
      </c>
      <c r="BF39" s="7">
        <f t="shared" si="57"/>
        <v>0.45600000000000002</v>
      </c>
      <c r="BG39" s="7"/>
      <c r="BH39">
        <f t="shared" si="51"/>
        <v>20</v>
      </c>
      <c r="BI39" s="7">
        <f t="shared" si="24"/>
        <v>0.38118943568307051</v>
      </c>
      <c r="BJ39" s="7"/>
      <c r="BK39" s="7"/>
      <c r="DH39" s="56">
        <f t="shared" ref="DH39:DH67" si="60">DH38+1</f>
        <v>-13</v>
      </c>
      <c r="DI39" s="57">
        <f t="shared" si="29"/>
        <v>0.93825000000000003</v>
      </c>
      <c r="DJ39">
        <f t="shared" si="58"/>
        <v>-14.5</v>
      </c>
      <c r="DK39">
        <f t="shared" si="59"/>
        <v>-10.5</v>
      </c>
      <c r="DL39">
        <f t="shared" si="30"/>
        <v>0.375</v>
      </c>
      <c r="DM39">
        <f t="shared" si="31"/>
        <v>0.91500000000000004</v>
      </c>
      <c r="DN39">
        <f t="shared" si="32"/>
        <v>0.97699999999999998</v>
      </c>
      <c r="EE39" s="56">
        <f t="shared" si="34"/>
        <v>-7</v>
      </c>
      <c r="EF39" s="57">
        <f t="shared" si="42"/>
        <v>0.48499999999999999</v>
      </c>
      <c r="EG39">
        <f t="shared" si="21"/>
        <v>-10.5</v>
      </c>
      <c r="EH39">
        <f t="shared" si="22"/>
        <v>-6.5</v>
      </c>
      <c r="EI39">
        <f t="shared" si="35"/>
        <v>0.875</v>
      </c>
      <c r="EJ39">
        <f t="shared" si="36"/>
        <v>0.45</v>
      </c>
      <c r="EK39">
        <f t="shared" si="37"/>
        <v>0.49</v>
      </c>
      <c r="GP39" s="6">
        <f t="shared" si="11"/>
        <v>0.37</v>
      </c>
      <c r="GQ39" s="8">
        <f t="shared" si="46"/>
        <v>0.45576455562818258</v>
      </c>
      <c r="GR39">
        <f t="shared" si="47"/>
        <v>1.1941153335666812</v>
      </c>
      <c r="GS39">
        <v>10</v>
      </c>
      <c r="GT39">
        <f t="shared" si="48"/>
        <v>11.941153335666808</v>
      </c>
      <c r="GU39" s="8">
        <f t="shared" si="49"/>
        <v>0.45576455562818263</v>
      </c>
      <c r="GV39" s="8">
        <f t="shared" si="50"/>
        <v>0.37000000000000027</v>
      </c>
    </row>
    <row r="40" spans="1:213" ht="15.75" thickBot="1">
      <c r="A40" s="20">
        <v>2</v>
      </c>
      <c r="B40" s="27">
        <v>0.5780491294452631</v>
      </c>
      <c r="U40">
        <v>3</v>
      </c>
      <c r="V40" s="241">
        <v>1</v>
      </c>
      <c r="W40" s="242">
        <v>0.12326029019840094</v>
      </c>
      <c r="BB40" s="14">
        <v>31</v>
      </c>
      <c r="BC40" s="14">
        <v>39</v>
      </c>
      <c r="BD40" s="14">
        <v>84</v>
      </c>
      <c r="BE40" s="38">
        <f t="shared" si="53"/>
        <v>0.4642857142857143</v>
      </c>
      <c r="BF40" s="7">
        <f t="shared" si="57"/>
        <v>0.46100000000000002</v>
      </c>
      <c r="BG40" s="7"/>
      <c r="BH40">
        <f t="shared" si="51"/>
        <v>20.5</v>
      </c>
      <c r="BI40" s="7">
        <f t="shared" si="24"/>
        <v>0.38589420043383549</v>
      </c>
      <c r="BJ40" s="7"/>
      <c r="BK40" s="7"/>
      <c r="DH40" s="56">
        <f t="shared" si="60"/>
        <v>-12</v>
      </c>
      <c r="DI40" s="57">
        <f t="shared" si="29"/>
        <v>0.95374999999999999</v>
      </c>
      <c r="DJ40">
        <f t="shared" si="58"/>
        <v>-14.5</v>
      </c>
      <c r="DK40">
        <f t="shared" si="59"/>
        <v>-10.5</v>
      </c>
      <c r="DL40">
        <f t="shared" si="30"/>
        <v>0.625</v>
      </c>
      <c r="DM40">
        <f t="shared" si="31"/>
        <v>0.91500000000000004</v>
      </c>
      <c r="DN40">
        <f t="shared" si="32"/>
        <v>0.97699999999999998</v>
      </c>
      <c r="EE40" s="56">
        <f t="shared" si="34"/>
        <v>-6</v>
      </c>
      <c r="EF40" s="57">
        <f t="shared" si="42"/>
        <v>0.49374999999999997</v>
      </c>
      <c r="EG40">
        <f t="shared" si="21"/>
        <v>-6.5</v>
      </c>
      <c r="EH40">
        <f t="shared" si="22"/>
        <v>-2.5</v>
      </c>
      <c r="EI40">
        <f t="shared" si="35"/>
        <v>0.125</v>
      </c>
      <c r="EJ40">
        <f t="shared" si="36"/>
        <v>0.49</v>
      </c>
      <c r="EK40">
        <f t="shared" si="37"/>
        <v>0.52</v>
      </c>
      <c r="GP40" s="6">
        <f t="shared" si="11"/>
        <v>0.38</v>
      </c>
      <c r="GQ40" s="8">
        <f t="shared" si="46"/>
        <v>0.45929460183225718</v>
      </c>
      <c r="GR40">
        <f t="shared" si="47"/>
        <v>1.177251803114417</v>
      </c>
      <c r="GS40">
        <v>10</v>
      </c>
      <c r="GT40">
        <f t="shared" si="48"/>
        <v>11.772518031144166</v>
      </c>
      <c r="GU40" s="8">
        <f t="shared" si="49"/>
        <v>0.45929460183225718</v>
      </c>
      <c r="GV40" s="8">
        <f t="shared" si="50"/>
        <v>0.38000000000000028</v>
      </c>
    </row>
    <row r="41" spans="1:213" ht="15.75" thickBot="1">
      <c r="A41" s="20">
        <v>3</v>
      </c>
      <c r="B41" s="27">
        <v>0.60194804652930678</v>
      </c>
      <c r="U41">
        <v>3</v>
      </c>
      <c r="V41" s="241">
        <v>2</v>
      </c>
      <c r="W41" s="242">
        <v>5.9610263238403037E-2</v>
      </c>
      <c r="BB41" s="14">
        <v>32</v>
      </c>
      <c r="BC41" s="14">
        <v>6</v>
      </c>
      <c r="BD41" s="14">
        <v>14</v>
      </c>
      <c r="BE41" s="38">
        <f t="shared" si="53"/>
        <v>0.42857142857142855</v>
      </c>
      <c r="BF41" s="7">
        <f t="shared" si="57"/>
        <v>0.46600000000000003</v>
      </c>
      <c r="BG41" s="7"/>
      <c r="BH41">
        <f t="shared" si="51"/>
        <v>21</v>
      </c>
      <c r="BI41" s="7">
        <f t="shared" si="24"/>
        <v>0.39059896518460052</v>
      </c>
      <c r="BJ41" s="7"/>
      <c r="BK41" s="7"/>
      <c r="DH41" s="56">
        <f t="shared" si="60"/>
        <v>-11</v>
      </c>
      <c r="DI41" s="57">
        <f t="shared" si="29"/>
        <v>0.96924999999999994</v>
      </c>
      <c r="DJ41">
        <f t="shared" si="58"/>
        <v>-14.5</v>
      </c>
      <c r="DK41">
        <f t="shared" si="59"/>
        <v>-10.5</v>
      </c>
      <c r="DL41">
        <f t="shared" si="30"/>
        <v>0.875</v>
      </c>
      <c r="DM41">
        <f t="shared" si="31"/>
        <v>0.91500000000000004</v>
      </c>
      <c r="DN41">
        <f t="shared" si="32"/>
        <v>0.97699999999999998</v>
      </c>
      <c r="EE41" s="56">
        <f t="shared" si="34"/>
        <v>-5</v>
      </c>
      <c r="EF41" s="57">
        <f t="shared" si="42"/>
        <v>0.50124999999999997</v>
      </c>
      <c r="EG41">
        <f t="shared" si="21"/>
        <v>-6.5</v>
      </c>
      <c r="EH41">
        <f t="shared" si="22"/>
        <v>-2.5</v>
      </c>
      <c r="EI41">
        <f t="shared" si="35"/>
        <v>0.375</v>
      </c>
      <c r="EJ41">
        <f t="shared" si="36"/>
        <v>0.49</v>
      </c>
      <c r="EK41">
        <f t="shared" si="37"/>
        <v>0.52</v>
      </c>
      <c r="GP41" s="6">
        <f t="shared" si="11"/>
        <v>0.39</v>
      </c>
      <c r="GQ41" s="8">
        <f t="shared" si="46"/>
        <v>0.46279288875211416</v>
      </c>
      <c r="GR41">
        <f t="shared" si="47"/>
        <v>1.160793789845008</v>
      </c>
      <c r="GS41">
        <v>10</v>
      </c>
      <c r="GT41">
        <f t="shared" si="48"/>
        <v>11.60793789845008</v>
      </c>
      <c r="GU41" s="8">
        <f t="shared" si="49"/>
        <v>0.46279288875211416</v>
      </c>
      <c r="GV41" s="8">
        <f t="shared" si="50"/>
        <v>0.39</v>
      </c>
    </row>
    <row r="42" spans="1:213" ht="15.75" thickBot="1">
      <c r="A42" s="20">
        <v>4</v>
      </c>
      <c r="B42" s="27">
        <v>0.6285753765383737</v>
      </c>
      <c r="U42">
        <v>3</v>
      </c>
      <c r="V42" s="241">
        <v>3</v>
      </c>
      <c r="W42" s="242">
        <v>3.4463176002035488E-2</v>
      </c>
      <c r="BB42" s="14">
        <v>33</v>
      </c>
      <c r="BC42" s="14">
        <v>3</v>
      </c>
      <c r="BD42" s="14">
        <v>5</v>
      </c>
      <c r="BE42" s="38">
        <f t="shared" si="53"/>
        <v>0.6</v>
      </c>
      <c r="BF42" s="7">
        <f t="shared" si="57"/>
        <v>0.47100000000000003</v>
      </c>
      <c r="BG42" s="7"/>
      <c r="BH42">
        <f t="shared" si="51"/>
        <v>21.5</v>
      </c>
      <c r="BI42" s="7">
        <f t="shared" si="24"/>
        <v>0.39876716246917598</v>
      </c>
      <c r="BJ42" s="7"/>
      <c r="BK42" s="7"/>
      <c r="DH42" s="56">
        <f t="shared" si="60"/>
        <v>-10</v>
      </c>
      <c r="DI42" s="57">
        <f t="shared" si="29"/>
        <v>0.98424999999999996</v>
      </c>
      <c r="DJ42">
        <f t="shared" si="58"/>
        <v>-10.5</v>
      </c>
      <c r="DK42">
        <f t="shared" si="59"/>
        <v>-6.5</v>
      </c>
      <c r="DL42">
        <f t="shared" si="30"/>
        <v>0.125</v>
      </c>
      <c r="DM42">
        <f t="shared" si="31"/>
        <v>0.97699999999999998</v>
      </c>
      <c r="DN42">
        <f t="shared" si="32"/>
        <v>1.0349999999999999</v>
      </c>
      <c r="EE42" s="56">
        <f t="shared" si="34"/>
        <v>-4</v>
      </c>
      <c r="EF42" s="57">
        <f t="shared" si="42"/>
        <v>0.50875000000000004</v>
      </c>
      <c r="EG42">
        <f t="shared" si="21"/>
        <v>-6.5</v>
      </c>
      <c r="EH42">
        <f t="shared" si="22"/>
        <v>-2.5</v>
      </c>
      <c r="EI42">
        <f t="shared" si="35"/>
        <v>0.625</v>
      </c>
      <c r="EJ42">
        <f t="shared" si="36"/>
        <v>0.49</v>
      </c>
      <c r="EK42">
        <f t="shared" si="37"/>
        <v>0.52</v>
      </c>
      <c r="GP42" s="6">
        <f t="shared" si="11"/>
        <v>0.4</v>
      </c>
      <c r="GQ42" s="8">
        <f t="shared" si="46"/>
        <v>0.46626258182044661</v>
      </c>
      <c r="GR42">
        <f t="shared" si="47"/>
        <v>1.1447142425533319</v>
      </c>
      <c r="GS42">
        <v>10</v>
      </c>
      <c r="GT42">
        <f t="shared" si="48"/>
        <v>11.447142425533317</v>
      </c>
      <c r="GU42" s="8">
        <f t="shared" si="49"/>
        <v>0.46626258182044666</v>
      </c>
      <c r="GV42" s="8">
        <f t="shared" si="50"/>
        <v>0.40000000000000013</v>
      </c>
    </row>
    <row r="43" spans="1:213">
      <c r="A43" s="20">
        <v>5</v>
      </c>
      <c r="B43" s="27">
        <v>0.65108668822364757</v>
      </c>
      <c r="BB43">
        <f>BB42+1</f>
        <v>34</v>
      </c>
      <c r="BF43" s="7">
        <f>BF42+0.25%</f>
        <v>0.47350000000000003</v>
      </c>
      <c r="BG43" s="7"/>
      <c r="BH43">
        <f t="shared" si="51"/>
        <v>22</v>
      </c>
      <c r="BI43" s="7">
        <f t="shared" si="24"/>
        <v>0.40693535975375145</v>
      </c>
      <c r="BJ43" s="7"/>
      <c r="BK43" s="7"/>
      <c r="DH43" s="56">
        <f t="shared" si="60"/>
        <v>-9</v>
      </c>
      <c r="DI43" s="57">
        <f t="shared" si="29"/>
        <v>0.99874999999999992</v>
      </c>
      <c r="DJ43">
        <f t="shared" si="58"/>
        <v>-10.5</v>
      </c>
      <c r="DK43">
        <f t="shared" si="59"/>
        <v>-6.5</v>
      </c>
      <c r="DL43">
        <f t="shared" si="30"/>
        <v>0.375</v>
      </c>
      <c r="DM43">
        <f t="shared" si="31"/>
        <v>0.97699999999999998</v>
      </c>
      <c r="DN43">
        <f t="shared" si="32"/>
        <v>1.0349999999999999</v>
      </c>
      <c r="EE43" s="56">
        <f t="shared" si="34"/>
        <v>-3</v>
      </c>
      <c r="EF43" s="57">
        <f t="shared" si="42"/>
        <v>0.51624999999999999</v>
      </c>
      <c r="EG43">
        <f t="shared" si="21"/>
        <v>-6.5</v>
      </c>
      <c r="EH43">
        <f t="shared" si="22"/>
        <v>-2.5</v>
      </c>
      <c r="EI43">
        <f t="shared" si="35"/>
        <v>0.875</v>
      </c>
      <c r="EJ43">
        <f t="shared" si="36"/>
        <v>0.49</v>
      </c>
      <c r="EK43">
        <f t="shared" si="37"/>
        <v>0.52</v>
      </c>
      <c r="GP43" s="6">
        <f t="shared" si="11"/>
        <v>0.41</v>
      </c>
      <c r="GQ43" s="8">
        <f t="shared" si="46"/>
        <v>0.46970669998744008</v>
      </c>
      <c r="GR43">
        <f t="shared" si="47"/>
        <v>1.1289881537281456</v>
      </c>
      <c r="GS43">
        <v>10</v>
      </c>
      <c r="GT43">
        <f t="shared" si="48"/>
        <v>11.289881537281456</v>
      </c>
      <c r="GU43" s="8">
        <f t="shared" si="49"/>
        <v>0.46970669998744008</v>
      </c>
      <c r="GV43" s="8">
        <f t="shared" si="50"/>
        <v>0.41000000000000014</v>
      </c>
    </row>
    <row r="44" spans="1:213">
      <c r="A44" s="20">
        <v>6</v>
      </c>
      <c r="B44" s="27">
        <v>0.67941353699608387</v>
      </c>
      <c r="BB44">
        <f t="shared" ref="BB44:BB49" si="61">BB43+1</f>
        <v>35</v>
      </c>
      <c r="BF44" s="7">
        <f t="shared" ref="BF44:BF49" si="62">BF43+0.25%</f>
        <v>0.47600000000000003</v>
      </c>
      <c r="BG44" s="7"/>
      <c r="BH44">
        <f t="shared" si="51"/>
        <v>22.5</v>
      </c>
      <c r="BI44" s="7">
        <f t="shared" si="24"/>
        <v>0.4116141907704659</v>
      </c>
      <c r="BJ44" s="7"/>
      <c r="BK44" s="7"/>
      <c r="DH44" s="56">
        <f t="shared" si="60"/>
        <v>-8</v>
      </c>
      <c r="DI44" s="57">
        <f t="shared" si="29"/>
        <v>1.01325</v>
      </c>
      <c r="DJ44">
        <f t="shared" si="58"/>
        <v>-10.5</v>
      </c>
      <c r="DK44">
        <f t="shared" si="59"/>
        <v>-6.5</v>
      </c>
      <c r="DL44">
        <f t="shared" si="30"/>
        <v>0.625</v>
      </c>
      <c r="DM44">
        <f t="shared" si="31"/>
        <v>0.97699999999999998</v>
      </c>
      <c r="DN44">
        <f t="shared" si="32"/>
        <v>1.0349999999999999</v>
      </c>
      <c r="EE44" s="56">
        <f t="shared" si="34"/>
        <v>-2</v>
      </c>
      <c r="EF44" s="57">
        <f t="shared" si="42"/>
        <v>0.52500000000000002</v>
      </c>
      <c r="EG44">
        <f t="shared" si="21"/>
        <v>-2.5</v>
      </c>
      <c r="EH44">
        <f t="shared" si="22"/>
        <v>1.5</v>
      </c>
      <c r="EI44">
        <f t="shared" si="35"/>
        <v>0.125</v>
      </c>
      <c r="EJ44">
        <f t="shared" si="36"/>
        <v>0.52</v>
      </c>
      <c r="EK44">
        <f t="shared" si="37"/>
        <v>0.56000000000000005</v>
      </c>
      <c r="GP44" s="6">
        <f t="shared" si="11"/>
        <v>0.42</v>
      </c>
      <c r="GQ44" s="8">
        <f t="shared" si="46"/>
        <v>0.4731281343719424</v>
      </c>
      <c r="GR44">
        <f t="shared" si="47"/>
        <v>1.113592338632446</v>
      </c>
      <c r="GS44">
        <v>10</v>
      </c>
      <c r="GT44">
        <f t="shared" si="48"/>
        <v>11.13592338632446</v>
      </c>
      <c r="GU44" s="8">
        <f t="shared" si="49"/>
        <v>0.47312813437194245</v>
      </c>
      <c r="GV44" s="8">
        <f t="shared" si="50"/>
        <v>0.42000000000000004</v>
      </c>
    </row>
    <row r="45" spans="1:213">
      <c r="A45" s="20">
        <v>7</v>
      </c>
      <c r="B45" s="27">
        <v>0.70046000663996677</v>
      </c>
      <c r="BB45">
        <f t="shared" si="61"/>
        <v>36</v>
      </c>
      <c r="BF45" s="7">
        <f t="shared" si="62"/>
        <v>0.47850000000000004</v>
      </c>
      <c r="BG45" s="7"/>
      <c r="BH45">
        <f t="shared" si="51"/>
        <v>23</v>
      </c>
      <c r="BI45" s="7">
        <f t="shared" si="24"/>
        <v>0.41629302178718031</v>
      </c>
      <c r="BJ45" s="7"/>
      <c r="BK45" s="7"/>
      <c r="DH45" s="56">
        <f t="shared" si="60"/>
        <v>-7</v>
      </c>
      <c r="DI45" s="57">
        <f t="shared" si="29"/>
        <v>1.0277499999999999</v>
      </c>
      <c r="DJ45">
        <f t="shared" si="58"/>
        <v>-10.5</v>
      </c>
      <c r="DK45">
        <f t="shared" si="59"/>
        <v>-6.5</v>
      </c>
      <c r="DL45">
        <f t="shared" si="30"/>
        <v>0.875</v>
      </c>
      <c r="DM45">
        <f t="shared" si="31"/>
        <v>0.97699999999999998</v>
      </c>
      <c r="DN45">
        <f t="shared" si="32"/>
        <v>1.0349999999999999</v>
      </c>
      <c r="EE45" s="56">
        <f t="shared" si="34"/>
        <v>-1</v>
      </c>
      <c r="EF45" s="57">
        <f t="shared" si="42"/>
        <v>0.53500000000000003</v>
      </c>
      <c r="EG45">
        <f t="shared" si="21"/>
        <v>-2.5</v>
      </c>
      <c r="EH45">
        <f t="shared" si="22"/>
        <v>1.5</v>
      </c>
      <c r="EI45">
        <f t="shared" si="35"/>
        <v>0.375</v>
      </c>
      <c r="EJ45">
        <f t="shared" si="36"/>
        <v>0.52</v>
      </c>
      <c r="EK45">
        <f t="shared" si="37"/>
        <v>0.56000000000000005</v>
      </c>
      <c r="GP45" s="6">
        <f t="shared" si="11"/>
        <v>0.43</v>
      </c>
      <c r="GQ45" s="8">
        <f t="shared" si="46"/>
        <v>0.4765296651998846</v>
      </c>
      <c r="GR45">
        <f t="shared" si="47"/>
        <v>1.0985052411806115</v>
      </c>
      <c r="GS45">
        <v>10</v>
      </c>
      <c r="GT45">
        <f t="shared" si="48"/>
        <v>10.985052411806118</v>
      </c>
      <c r="GU45" s="8">
        <f t="shared" si="49"/>
        <v>0.47652966519988466</v>
      </c>
      <c r="GV45" s="8">
        <f t="shared" si="50"/>
        <v>0.42999999999999988</v>
      </c>
    </row>
    <row r="46" spans="1:213">
      <c r="A46" s="20">
        <v>8</v>
      </c>
      <c r="B46" s="27">
        <v>0.72692043890453595</v>
      </c>
      <c r="BB46">
        <f t="shared" si="61"/>
        <v>37</v>
      </c>
      <c r="BF46" s="7">
        <f t="shared" si="62"/>
        <v>0.48100000000000004</v>
      </c>
      <c r="BG46" s="7"/>
      <c r="BH46">
        <f t="shared" si="51"/>
        <v>23.5</v>
      </c>
      <c r="BI46" s="7">
        <f t="shared" si="24"/>
        <v>0.42113551626306089</v>
      </c>
      <c r="BJ46" s="7"/>
      <c r="BK46" s="7"/>
      <c r="DH46" s="56">
        <f t="shared" si="60"/>
        <v>-6</v>
      </c>
      <c r="DI46" s="57">
        <f t="shared" si="29"/>
        <v>1.0373749999999999</v>
      </c>
      <c r="DJ46">
        <f t="shared" si="58"/>
        <v>-6.5</v>
      </c>
      <c r="DK46">
        <f t="shared" si="59"/>
        <v>-2.5</v>
      </c>
      <c r="DL46">
        <f t="shared" si="30"/>
        <v>0.125</v>
      </c>
      <c r="DM46">
        <f t="shared" si="31"/>
        <v>1.0349999999999999</v>
      </c>
      <c r="DN46">
        <f t="shared" si="32"/>
        <v>1.054</v>
      </c>
      <c r="EE46" s="56">
        <f t="shared" si="34"/>
        <v>0</v>
      </c>
      <c r="EF46" s="57">
        <f t="shared" si="42"/>
        <v>0.54500000000000004</v>
      </c>
      <c r="EG46">
        <f t="shared" si="21"/>
        <v>-2.5</v>
      </c>
      <c r="EH46">
        <f t="shared" si="22"/>
        <v>1.5</v>
      </c>
      <c r="EI46">
        <f t="shared" si="35"/>
        <v>0.625</v>
      </c>
      <c r="EJ46">
        <f t="shared" si="36"/>
        <v>0.52</v>
      </c>
      <c r="EK46">
        <f t="shared" si="37"/>
        <v>0.56000000000000005</v>
      </c>
      <c r="GP46" s="6">
        <f t="shared" si="11"/>
        <v>0.44</v>
      </c>
      <c r="GQ46" s="8">
        <f t="shared" si="46"/>
        <v>0.47991397730194618</v>
      </c>
      <c r="GR46">
        <f t="shared" si="47"/>
        <v>1.0837067626618271</v>
      </c>
      <c r="GS46">
        <v>10</v>
      </c>
      <c r="GT46">
        <f t="shared" si="48"/>
        <v>10.837067626618273</v>
      </c>
      <c r="GU46" s="8">
        <f t="shared" si="49"/>
        <v>0.47991397730194624</v>
      </c>
      <c r="GV46" s="8">
        <f t="shared" si="50"/>
        <v>0.43999999999999989</v>
      </c>
    </row>
    <row r="47" spans="1:213">
      <c r="A47" s="20">
        <v>9</v>
      </c>
      <c r="B47" s="27">
        <v>0.75257204263497679</v>
      </c>
      <c r="BB47">
        <f t="shared" si="61"/>
        <v>38</v>
      </c>
      <c r="BF47" s="7">
        <f t="shared" si="62"/>
        <v>0.48350000000000004</v>
      </c>
      <c r="BG47" s="7"/>
      <c r="BH47">
        <f t="shared" si="51"/>
        <v>24</v>
      </c>
      <c r="BI47" s="7">
        <f t="shared" si="24"/>
        <v>0.42597801073894143</v>
      </c>
      <c r="BJ47" s="7"/>
      <c r="BK47" s="7"/>
      <c r="DH47" s="56">
        <f t="shared" si="60"/>
        <v>-5</v>
      </c>
      <c r="DI47" s="57">
        <f t="shared" si="29"/>
        <v>1.042125</v>
      </c>
      <c r="DJ47">
        <f t="shared" si="58"/>
        <v>-6.5</v>
      </c>
      <c r="DK47">
        <f t="shared" si="59"/>
        <v>-2.5</v>
      </c>
      <c r="DL47">
        <f t="shared" si="30"/>
        <v>0.375</v>
      </c>
      <c r="DM47">
        <f t="shared" si="31"/>
        <v>1.0349999999999999</v>
      </c>
      <c r="DN47">
        <f t="shared" si="32"/>
        <v>1.054</v>
      </c>
      <c r="EE47" s="56">
        <f t="shared" si="34"/>
        <v>1</v>
      </c>
      <c r="EF47" s="57">
        <f t="shared" si="42"/>
        <v>0.55500000000000005</v>
      </c>
      <c r="EG47">
        <f t="shared" si="21"/>
        <v>-2.5</v>
      </c>
      <c r="EH47">
        <f t="shared" si="22"/>
        <v>1.5</v>
      </c>
      <c r="EI47">
        <f t="shared" si="35"/>
        <v>0.875</v>
      </c>
      <c r="EJ47">
        <f t="shared" si="36"/>
        <v>0.52</v>
      </c>
      <c r="EK47">
        <f t="shared" si="37"/>
        <v>0.56000000000000005</v>
      </c>
      <c r="GP47" s="6">
        <f t="shared" si="11"/>
        <v>0.45</v>
      </c>
      <c r="GQ47" s="8">
        <f t="shared" si="46"/>
        <v>0.48328367440571479</v>
      </c>
      <c r="GR47">
        <f t="shared" si="47"/>
        <v>1.0691781099986088</v>
      </c>
      <c r="GS47">
        <v>10</v>
      </c>
      <c r="GT47">
        <f t="shared" si="48"/>
        <v>10.691781099986091</v>
      </c>
      <c r="GU47" s="8">
        <f t="shared" si="49"/>
        <v>0.48328367440571474</v>
      </c>
      <c r="GV47" s="8">
        <f t="shared" si="50"/>
        <v>0.44999999999999973</v>
      </c>
    </row>
    <row r="48" spans="1:213">
      <c r="A48" s="20">
        <v>10</v>
      </c>
      <c r="B48" s="27">
        <v>0.77105558461728863</v>
      </c>
      <c r="BB48">
        <f t="shared" si="61"/>
        <v>39</v>
      </c>
      <c r="BF48" s="7">
        <f t="shared" si="62"/>
        <v>0.48600000000000004</v>
      </c>
      <c r="BG48" s="7"/>
      <c r="BH48">
        <f t="shared" si="51"/>
        <v>24.5</v>
      </c>
      <c r="BI48" s="7">
        <f t="shared" si="24"/>
        <v>0.42848900536947071</v>
      </c>
      <c r="BJ48" s="7"/>
      <c r="BK48" s="7"/>
      <c r="DH48" s="56">
        <f t="shared" si="60"/>
        <v>-4</v>
      </c>
      <c r="DI48" s="57">
        <f t="shared" si="29"/>
        <v>1.046875</v>
      </c>
      <c r="DJ48">
        <f t="shared" si="58"/>
        <v>-6.5</v>
      </c>
      <c r="DK48">
        <f t="shared" si="59"/>
        <v>-2.5</v>
      </c>
      <c r="DL48">
        <f t="shared" si="30"/>
        <v>0.625</v>
      </c>
      <c r="DM48">
        <f t="shared" si="31"/>
        <v>1.0349999999999999</v>
      </c>
      <c r="DN48">
        <f t="shared" si="32"/>
        <v>1.054</v>
      </c>
      <c r="EE48" s="56">
        <f t="shared" si="34"/>
        <v>2</v>
      </c>
      <c r="EF48" s="57">
        <f t="shared" si="42"/>
        <v>0.5625</v>
      </c>
      <c r="EG48">
        <f t="shared" si="21"/>
        <v>1.5</v>
      </c>
      <c r="EH48">
        <f t="shared" si="22"/>
        <v>5.5</v>
      </c>
      <c r="EI48">
        <f t="shared" si="35"/>
        <v>0.125</v>
      </c>
      <c r="EJ48">
        <f t="shared" si="36"/>
        <v>0.56000000000000005</v>
      </c>
      <c r="EK48">
        <f t="shared" si="37"/>
        <v>0.57999999999999996</v>
      </c>
      <c r="GP48" s="6">
        <f t="shared" si="11"/>
        <v>0.46</v>
      </c>
      <c r="GQ48" s="8">
        <f t="shared" si="46"/>
        <v>0.4866412924278779</v>
      </c>
      <c r="GR48">
        <f t="shared" si="47"/>
        <v>1.0549016607508779</v>
      </c>
      <c r="GS48">
        <v>10</v>
      </c>
      <c r="GT48">
        <f t="shared" si="48"/>
        <v>10.549016607508779</v>
      </c>
      <c r="GU48" s="8">
        <f t="shared" si="49"/>
        <v>0.48664129242787796</v>
      </c>
      <c r="GV48" s="8">
        <f t="shared" si="50"/>
        <v>0.45999999999999996</v>
      </c>
    </row>
    <row r="49" spans="1:204">
      <c r="A49" s="20">
        <v>11</v>
      </c>
      <c r="B49" s="27">
        <v>0.79090685393651949</v>
      </c>
      <c r="BB49">
        <f t="shared" si="61"/>
        <v>40</v>
      </c>
      <c r="BF49" s="7">
        <f t="shared" si="62"/>
        <v>0.48850000000000005</v>
      </c>
      <c r="BG49" s="7"/>
      <c r="BH49">
        <f t="shared" si="51"/>
        <v>25</v>
      </c>
      <c r="BI49" s="7">
        <f t="shared" si="24"/>
        <v>0.43099999999999999</v>
      </c>
      <c r="BJ49" s="7"/>
      <c r="BK49" s="7"/>
      <c r="DH49" s="56">
        <f t="shared" si="60"/>
        <v>-3</v>
      </c>
      <c r="DI49" s="57">
        <f t="shared" si="29"/>
        <v>1.051625</v>
      </c>
      <c r="DJ49">
        <f t="shared" si="58"/>
        <v>-6.5</v>
      </c>
      <c r="DK49">
        <f t="shared" si="59"/>
        <v>-2.5</v>
      </c>
      <c r="DL49">
        <f t="shared" si="30"/>
        <v>0.875</v>
      </c>
      <c r="DM49">
        <f t="shared" si="31"/>
        <v>1.0349999999999999</v>
      </c>
      <c r="DN49">
        <f t="shared" si="32"/>
        <v>1.054</v>
      </c>
      <c r="EE49" s="56">
        <f t="shared" si="34"/>
        <v>3</v>
      </c>
      <c r="EF49" s="57">
        <f t="shared" si="42"/>
        <v>0.5675</v>
      </c>
      <c r="EG49">
        <f t="shared" si="21"/>
        <v>1.5</v>
      </c>
      <c r="EH49">
        <f t="shared" si="22"/>
        <v>5.5</v>
      </c>
      <c r="EI49">
        <f t="shared" si="35"/>
        <v>0.375</v>
      </c>
      <c r="EJ49">
        <f t="shared" si="36"/>
        <v>0.56000000000000005</v>
      </c>
      <c r="EK49">
        <f t="shared" si="37"/>
        <v>0.57999999999999996</v>
      </c>
      <c r="GP49" s="6">
        <f t="shared" si="11"/>
        <v>0.47</v>
      </c>
      <c r="GQ49" s="8">
        <f t="shared" si="46"/>
        <v>0.48998931194809242</v>
      </c>
      <c r="GR49">
        <f t="shared" si="47"/>
        <v>1.0408608425033079</v>
      </c>
      <c r="GS49">
        <v>10</v>
      </c>
      <c r="GT49">
        <f t="shared" si="48"/>
        <v>10.408608425033076</v>
      </c>
      <c r="GU49" s="8">
        <f t="shared" si="49"/>
        <v>0.48998931194809248</v>
      </c>
      <c r="GV49" s="8">
        <f t="shared" si="50"/>
        <v>0.47000000000000014</v>
      </c>
    </row>
    <row r="50" spans="1:204">
      <c r="A50" s="20">
        <v>12</v>
      </c>
      <c r="B50" s="27">
        <v>0.81129979910483352</v>
      </c>
      <c r="BH50">
        <f t="shared" si="51"/>
        <v>25.5</v>
      </c>
      <c r="BI50" s="7">
        <f t="shared" si="24"/>
        <v>0.4335</v>
      </c>
      <c r="DH50" s="56">
        <f t="shared" si="60"/>
        <v>-2</v>
      </c>
      <c r="DI50" s="57">
        <f t="shared" si="29"/>
        <v>1.0571250000000001</v>
      </c>
      <c r="DJ50">
        <f t="shared" si="58"/>
        <v>-2.5</v>
      </c>
      <c r="DK50">
        <f t="shared" si="59"/>
        <v>1.5</v>
      </c>
      <c r="DL50">
        <f t="shared" si="30"/>
        <v>0.125</v>
      </c>
      <c r="DM50">
        <f t="shared" si="31"/>
        <v>1.054</v>
      </c>
      <c r="DN50">
        <f t="shared" si="32"/>
        <v>1.079</v>
      </c>
      <c r="EE50" s="56">
        <f t="shared" si="34"/>
        <v>4</v>
      </c>
      <c r="EF50" s="57">
        <f t="shared" si="42"/>
        <v>0.57250000000000001</v>
      </c>
      <c r="EG50">
        <f t="shared" si="21"/>
        <v>1.5</v>
      </c>
      <c r="EH50">
        <f t="shared" si="22"/>
        <v>5.5</v>
      </c>
      <c r="EI50">
        <f t="shared" si="35"/>
        <v>0.625</v>
      </c>
      <c r="EJ50">
        <f t="shared" si="36"/>
        <v>0.56000000000000005</v>
      </c>
      <c r="EK50">
        <f t="shared" si="37"/>
        <v>0.57999999999999996</v>
      </c>
      <c r="GP50" s="6">
        <f t="shared" si="11"/>
        <v>0.48</v>
      </c>
      <c r="GQ50" s="8">
        <f t="shared" si="46"/>
        <v>0.4933301700271448</v>
      </c>
      <c r="GR50">
        <f t="shared" si="47"/>
        <v>1.0270400246248399</v>
      </c>
      <c r="GS50">
        <v>10</v>
      </c>
      <c r="GT50">
        <f t="shared" si="48"/>
        <v>10.270400246248398</v>
      </c>
      <c r="GU50" s="8">
        <f t="shared" si="49"/>
        <v>0.49333017002714474</v>
      </c>
      <c r="GV50" s="8">
        <f t="shared" si="50"/>
        <v>0.48</v>
      </c>
    </row>
    <row r="51" spans="1:204">
      <c r="A51" s="20">
        <v>13</v>
      </c>
      <c r="B51" s="27">
        <v>0.82841290848009774</v>
      </c>
      <c r="BH51">
        <f t="shared" si="51"/>
        <v>26</v>
      </c>
      <c r="BI51" s="7">
        <f t="shared" si="24"/>
        <v>0.436</v>
      </c>
      <c r="DH51" s="56">
        <f t="shared" si="60"/>
        <v>-1</v>
      </c>
      <c r="DI51" s="57">
        <f t="shared" si="29"/>
        <v>1.0633750000000002</v>
      </c>
      <c r="DJ51">
        <f t="shared" si="58"/>
        <v>-2.5</v>
      </c>
      <c r="DK51">
        <f t="shared" si="59"/>
        <v>1.5</v>
      </c>
      <c r="DL51">
        <f t="shared" si="30"/>
        <v>0.375</v>
      </c>
      <c r="DM51">
        <f t="shared" si="31"/>
        <v>1.054</v>
      </c>
      <c r="DN51">
        <f t="shared" si="32"/>
        <v>1.079</v>
      </c>
      <c r="EE51" s="56">
        <f t="shared" si="34"/>
        <v>5</v>
      </c>
      <c r="EF51" s="57">
        <f t="shared" si="42"/>
        <v>0.5774999999999999</v>
      </c>
      <c r="EG51">
        <f t="shared" si="21"/>
        <v>1.5</v>
      </c>
      <c r="EH51">
        <f t="shared" si="22"/>
        <v>5.5</v>
      </c>
      <c r="EI51">
        <f t="shared" si="35"/>
        <v>0.875</v>
      </c>
      <c r="EJ51">
        <f t="shared" si="36"/>
        <v>0.56000000000000005</v>
      </c>
      <c r="EK51">
        <f t="shared" si="37"/>
        <v>0.57999999999999996</v>
      </c>
      <c r="GP51" s="6">
        <f t="shared" si="11"/>
        <v>0.49</v>
      </c>
      <c r="GQ51" s="8">
        <f t="shared" si="46"/>
        <v>0.49666627151712306</v>
      </c>
      <c r="GR51">
        <f t="shared" si="47"/>
        <v>1.0134244206786729</v>
      </c>
      <c r="GS51">
        <v>10</v>
      </c>
      <c r="GT51">
        <f t="shared" si="48"/>
        <v>10.134244206786731</v>
      </c>
      <c r="GU51" s="8">
        <f t="shared" si="49"/>
        <v>0.496666271517123</v>
      </c>
      <c r="GV51" s="8">
        <f t="shared" si="50"/>
        <v>0.48999999999999982</v>
      </c>
    </row>
    <row r="52" spans="1:204">
      <c r="A52" s="20">
        <v>14</v>
      </c>
      <c r="B52" s="27">
        <v>0.84377368022227839</v>
      </c>
      <c r="BH52">
        <f t="shared" si="51"/>
        <v>26.5</v>
      </c>
      <c r="BI52" s="7">
        <f t="shared" si="24"/>
        <v>0.4385</v>
      </c>
      <c r="DH52" s="56">
        <f t="shared" si="60"/>
        <v>0</v>
      </c>
      <c r="DI52" s="57">
        <f t="shared" si="29"/>
        <v>1.0696249999999998</v>
      </c>
      <c r="DJ52">
        <f t="shared" si="58"/>
        <v>-2.5</v>
      </c>
      <c r="DK52">
        <f t="shared" si="59"/>
        <v>1.5</v>
      </c>
      <c r="DL52">
        <f t="shared" si="30"/>
        <v>0.625</v>
      </c>
      <c r="DM52">
        <f t="shared" si="31"/>
        <v>1.054</v>
      </c>
      <c r="DN52">
        <f t="shared" si="32"/>
        <v>1.079</v>
      </c>
      <c r="EE52" s="56">
        <f t="shared" si="34"/>
        <v>6</v>
      </c>
      <c r="EF52" s="57">
        <f t="shared" si="42"/>
        <v>0.58249999999999991</v>
      </c>
      <c r="EG52">
        <f t="shared" si="21"/>
        <v>5.5</v>
      </c>
      <c r="EH52">
        <f t="shared" si="22"/>
        <v>9.5</v>
      </c>
      <c r="EI52">
        <f t="shared" si="35"/>
        <v>0.125</v>
      </c>
      <c r="EJ52">
        <f t="shared" si="36"/>
        <v>0.57999999999999996</v>
      </c>
      <c r="EK52">
        <f t="shared" si="37"/>
        <v>0.6</v>
      </c>
      <c r="GP52" s="6">
        <f t="shared" si="11"/>
        <v>0.5</v>
      </c>
      <c r="GQ52" s="8">
        <f t="shared" si="46"/>
        <v>0.5</v>
      </c>
      <c r="GR52">
        <f t="shared" si="47"/>
        <v>1</v>
      </c>
      <c r="GS52">
        <v>10</v>
      </c>
      <c r="GT52">
        <f t="shared" si="48"/>
        <v>10</v>
      </c>
      <c r="GU52" s="8">
        <f t="shared" si="49"/>
        <v>0.5</v>
      </c>
      <c r="GV52" s="8">
        <f t="shared" si="50"/>
        <v>0.5</v>
      </c>
    </row>
    <row r="53" spans="1:204">
      <c r="A53" s="20">
        <v>15</v>
      </c>
      <c r="B53" s="27">
        <v>0.85697966643819967</v>
      </c>
      <c r="BH53">
        <f t="shared" si="51"/>
        <v>27</v>
      </c>
      <c r="BI53" s="7">
        <f t="shared" si="24"/>
        <v>0.441</v>
      </c>
      <c r="DH53" s="56">
        <f t="shared" si="60"/>
        <v>1</v>
      </c>
      <c r="DI53" s="57">
        <f t="shared" si="29"/>
        <v>1.0758749999999999</v>
      </c>
      <c r="DJ53">
        <f t="shared" si="58"/>
        <v>-2.5</v>
      </c>
      <c r="DK53">
        <f t="shared" si="59"/>
        <v>1.5</v>
      </c>
      <c r="DL53">
        <f t="shared" si="30"/>
        <v>0.875</v>
      </c>
      <c r="DM53">
        <f t="shared" si="31"/>
        <v>1.054</v>
      </c>
      <c r="DN53">
        <f t="shared" si="32"/>
        <v>1.079</v>
      </c>
      <c r="EE53" s="56">
        <f t="shared" si="34"/>
        <v>7</v>
      </c>
      <c r="EF53" s="57">
        <f t="shared" si="42"/>
        <v>0.58749999999999991</v>
      </c>
      <c r="EG53">
        <f t="shared" si="21"/>
        <v>5.5</v>
      </c>
      <c r="EH53">
        <f t="shared" si="22"/>
        <v>9.5</v>
      </c>
      <c r="EI53">
        <f t="shared" si="35"/>
        <v>0.375</v>
      </c>
      <c r="EJ53">
        <f t="shared" si="36"/>
        <v>0.57999999999999996</v>
      </c>
      <c r="EK53">
        <f t="shared" si="37"/>
        <v>0.6</v>
      </c>
      <c r="GP53" s="6">
        <f t="shared" si="11"/>
        <v>0.51</v>
      </c>
      <c r="GQ53" s="8">
        <f t="shared" si="46"/>
        <v>0.50333372848287694</v>
      </c>
      <c r="GR53">
        <f t="shared" si="47"/>
        <v>0.98675340715622117</v>
      </c>
      <c r="GS53">
        <v>10</v>
      </c>
      <c r="GT53">
        <f t="shared" si="48"/>
        <v>9.8675340715622095</v>
      </c>
      <c r="GU53" s="8">
        <f t="shared" si="49"/>
        <v>0.50333372848287694</v>
      </c>
      <c r="GV53" s="8">
        <f t="shared" si="50"/>
        <v>0.51000000000000023</v>
      </c>
    </row>
    <row r="54" spans="1:204">
      <c r="A54" s="20">
        <v>16</v>
      </c>
      <c r="B54" s="27">
        <v>0.86901354703300893</v>
      </c>
      <c r="BH54">
        <f t="shared" si="51"/>
        <v>27.5</v>
      </c>
      <c r="BI54" s="7">
        <f t="shared" si="24"/>
        <v>0.44350000000000001</v>
      </c>
      <c r="DH54" s="56">
        <f t="shared" si="60"/>
        <v>2</v>
      </c>
      <c r="DI54" s="57">
        <f t="shared" si="29"/>
        <v>1.079375</v>
      </c>
      <c r="DJ54">
        <f t="shared" si="58"/>
        <v>1.5</v>
      </c>
      <c r="DK54">
        <f t="shared" si="59"/>
        <v>5.5</v>
      </c>
      <c r="DL54">
        <f t="shared" si="30"/>
        <v>0.125</v>
      </c>
      <c r="DM54">
        <f t="shared" si="31"/>
        <v>1.079</v>
      </c>
      <c r="DN54">
        <f t="shared" si="32"/>
        <v>1.0820000000000001</v>
      </c>
      <c r="EE54" s="56">
        <f t="shared" si="34"/>
        <v>8</v>
      </c>
      <c r="EF54" s="57">
        <f t="shared" si="42"/>
        <v>0.59250000000000003</v>
      </c>
      <c r="EG54">
        <f t="shared" si="21"/>
        <v>5.5</v>
      </c>
      <c r="EH54">
        <f t="shared" si="22"/>
        <v>9.5</v>
      </c>
      <c r="EI54">
        <f t="shared" si="35"/>
        <v>0.625</v>
      </c>
      <c r="EJ54">
        <f t="shared" si="36"/>
        <v>0.57999999999999996</v>
      </c>
      <c r="EK54">
        <f t="shared" si="37"/>
        <v>0.6</v>
      </c>
      <c r="GP54" s="6">
        <f t="shared" si="11"/>
        <v>0.52</v>
      </c>
      <c r="GQ54" s="8">
        <f t="shared" si="46"/>
        <v>0.50666982997285515</v>
      </c>
      <c r="GR54">
        <f t="shared" si="47"/>
        <v>0.97367188816743822</v>
      </c>
      <c r="GS54">
        <v>10</v>
      </c>
      <c r="GT54">
        <f t="shared" si="48"/>
        <v>9.736718881674383</v>
      </c>
      <c r="GU54" s="8">
        <f t="shared" si="49"/>
        <v>0.50666982997285515</v>
      </c>
      <c r="GV54" s="8">
        <f t="shared" si="50"/>
        <v>0.51999999999999991</v>
      </c>
    </row>
    <row r="55" spans="1:204">
      <c r="A55" s="20">
        <v>17</v>
      </c>
      <c r="B55" s="27">
        <v>0.88017118402282457</v>
      </c>
      <c r="BH55">
        <f t="shared" si="51"/>
        <v>28</v>
      </c>
      <c r="BI55" s="7">
        <f t="shared" si="24"/>
        <v>0.44600000000000001</v>
      </c>
      <c r="DH55" s="56">
        <f t="shared" si="60"/>
        <v>3</v>
      </c>
      <c r="DI55" s="57">
        <f t="shared" si="29"/>
        <v>1.080125</v>
      </c>
      <c r="DJ55">
        <f t="shared" si="58"/>
        <v>1.5</v>
      </c>
      <c r="DK55">
        <f t="shared" si="59"/>
        <v>5.5</v>
      </c>
      <c r="DL55">
        <f t="shared" si="30"/>
        <v>0.375</v>
      </c>
      <c r="DM55">
        <f t="shared" si="31"/>
        <v>1.079</v>
      </c>
      <c r="DN55">
        <f t="shared" si="32"/>
        <v>1.0820000000000001</v>
      </c>
      <c r="EE55" s="56">
        <f t="shared" si="34"/>
        <v>9</v>
      </c>
      <c r="EF55" s="57">
        <f t="shared" si="42"/>
        <v>0.59750000000000003</v>
      </c>
      <c r="EG55">
        <f t="shared" si="21"/>
        <v>5.5</v>
      </c>
      <c r="EH55">
        <f t="shared" si="22"/>
        <v>9.5</v>
      </c>
      <c r="EI55">
        <f t="shared" si="35"/>
        <v>0.875</v>
      </c>
      <c r="EJ55">
        <f t="shared" si="36"/>
        <v>0.57999999999999996</v>
      </c>
      <c r="EK55">
        <f t="shared" si="37"/>
        <v>0.6</v>
      </c>
      <c r="GP55" s="6">
        <f t="shared" si="11"/>
        <v>0.53</v>
      </c>
      <c r="GQ55" s="8">
        <f t="shared" si="46"/>
        <v>0.51001068805190763</v>
      </c>
      <c r="GR55">
        <f t="shared" si="47"/>
        <v>0.96074322249933408</v>
      </c>
      <c r="GS55">
        <v>10</v>
      </c>
      <c r="GT55">
        <f t="shared" si="48"/>
        <v>9.6074322249933406</v>
      </c>
      <c r="GU55" s="8">
        <f t="shared" si="49"/>
        <v>0.51001068805190763</v>
      </c>
      <c r="GV55" s="8">
        <f t="shared" si="50"/>
        <v>0.53000000000000014</v>
      </c>
    </row>
    <row r="56" spans="1:204">
      <c r="A56" s="20">
        <v>18</v>
      </c>
      <c r="B56" s="27">
        <v>0.8870431893687708</v>
      </c>
      <c r="BH56">
        <f t="shared" si="51"/>
        <v>28.5</v>
      </c>
      <c r="BI56" s="7">
        <f t="shared" si="24"/>
        <v>0.44850000000000001</v>
      </c>
      <c r="DH56" s="56">
        <f t="shared" si="60"/>
        <v>4</v>
      </c>
      <c r="DI56" s="57">
        <f t="shared" si="29"/>
        <v>1.080875</v>
      </c>
      <c r="DJ56">
        <f t="shared" si="58"/>
        <v>1.5</v>
      </c>
      <c r="DK56">
        <f t="shared" si="59"/>
        <v>5.5</v>
      </c>
      <c r="DL56">
        <f t="shared" si="30"/>
        <v>0.625</v>
      </c>
      <c r="DM56">
        <f t="shared" si="31"/>
        <v>1.079</v>
      </c>
      <c r="DN56">
        <f t="shared" si="32"/>
        <v>1.0820000000000001</v>
      </c>
      <c r="EE56" s="56">
        <f t="shared" si="34"/>
        <v>10</v>
      </c>
      <c r="EF56" s="57">
        <f t="shared" si="42"/>
        <v>0.60250000000000004</v>
      </c>
      <c r="EG56">
        <f t="shared" si="21"/>
        <v>9.5</v>
      </c>
      <c r="EH56">
        <f t="shared" si="22"/>
        <v>13.5</v>
      </c>
      <c r="EI56">
        <f t="shared" si="35"/>
        <v>0.125</v>
      </c>
      <c r="EJ56">
        <f t="shared" si="36"/>
        <v>0.6</v>
      </c>
      <c r="EK56">
        <f t="shared" si="37"/>
        <v>0.62</v>
      </c>
      <c r="GP56" s="6">
        <f t="shared" si="11"/>
        <v>0.54</v>
      </c>
      <c r="GQ56" s="8">
        <f t="shared" si="46"/>
        <v>0.5133587075721221</v>
      </c>
      <c r="GR56">
        <f t="shared" si="47"/>
        <v>0.94795565995052178</v>
      </c>
      <c r="GS56">
        <v>10</v>
      </c>
      <c r="GT56">
        <f t="shared" si="48"/>
        <v>9.4795565995052176</v>
      </c>
      <c r="GU56" s="8">
        <f t="shared" si="49"/>
        <v>0.5133587075721221</v>
      </c>
      <c r="GV56" s="8">
        <f t="shared" si="50"/>
        <v>0.54</v>
      </c>
    </row>
    <row r="57" spans="1:204">
      <c r="A57" s="20">
        <v>19</v>
      </c>
      <c r="B57" s="27">
        <v>0.91047619047619044</v>
      </c>
      <c r="BH57">
        <f t="shared" si="51"/>
        <v>29</v>
      </c>
      <c r="BI57" s="7">
        <f t="shared" si="24"/>
        <v>0.45100000000000001</v>
      </c>
      <c r="DH57" s="56">
        <f t="shared" si="60"/>
        <v>5</v>
      </c>
      <c r="DI57" s="57">
        <f t="shared" si="29"/>
        <v>1.0816250000000001</v>
      </c>
      <c r="DJ57">
        <f t="shared" si="58"/>
        <v>1.5</v>
      </c>
      <c r="DK57">
        <f t="shared" si="59"/>
        <v>5.5</v>
      </c>
      <c r="DL57">
        <f t="shared" si="30"/>
        <v>0.875</v>
      </c>
      <c r="DM57">
        <f t="shared" si="31"/>
        <v>1.079</v>
      </c>
      <c r="DN57">
        <f t="shared" si="32"/>
        <v>1.0820000000000001</v>
      </c>
      <c r="EE57" s="56">
        <f t="shared" si="34"/>
        <v>11</v>
      </c>
      <c r="EF57" s="57">
        <f t="shared" si="42"/>
        <v>0.60749999999999993</v>
      </c>
      <c r="EG57">
        <f t="shared" si="21"/>
        <v>9.5</v>
      </c>
      <c r="EH57">
        <f t="shared" si="22"/>
        <v>13.5</v>
      </c>
      <c r="EI57">
        <f t="shared" si="35"/>
        <v>0.375</v>
      </c>
      <c r="EJ57">
        <f t="shared" si="36"/>
        <v>0.6</v>
      </c>
      <c r="EK57">
        <f t="shared" si="37"/>
        <v>0.62</v>
      </c>
      <c r="GP57" s="6">
        <f t="shared" si="11"/>
        <v>0.55000000000000004</v>
      </c>
      <c r="GQ57" s="8">
        <f t="shared" si="46"/>
        <v>0.51671632559428515</v>
      </c>
      <c r="GR57">
        <f t="shared" si="47"/>
        <v>0.9352978616456159</v>
      </c>
      <c r="GS57">
        <v>10</v>
      </c>
      <c r="GT57">
        <f t="shared" si="48"/>
        <v>9.352978616456161</v>
      </c>
      <c r="GU57" s="8">
        <f t="shared" si="49"/>
        <v>0.51671632559428515</v>
      </c>
      <c r="GV57" s="8">
        <f t="shared" si="50"/>
        <v>0.54999999999999993</v>
      </c>
    </row>
    <row r="58" spans="1:204">
      <c r="A58" s="20">
        <v>20</v>
      </c>
      <c r="B58" s="27">
        <v>0.91343838551385725</v>
      </c>
      <c r="BH58">
        <f t="shared" si="51"/>
        <v>29.5</v>
      </c>
      <c r="BI58" s="7">
        <f t="shared" si="24"/>
        <v>0.45350000000000001</v>
      </c>
      <c r="DH58" s="56">
        <f t="shared" si="60"/>
        <v>6</v>
      </c>
      <c r="DI58" s="57">
        <f t="shared" si="29"/>
        <v>1.0823750000000001</v>
      </c>
      <c r="DJ58">
        <f t="shared" si="58"/>
        <v>5.5</v>
      </c>
      <c r="DK58">
        <f t="shared" si="59"/>
        <v>9.5</v>
      </c>
      <c r="DL58">
        <f t="shared" si="30"/>
        <v>0.125</v>
      </c>
      <c r="DM58">
        <f t="shared" si="31"/>
        <v>1.0820000000000001</v>
      </c>
      <c r="DN58">
        <f t="shared" si="32"/>
        <v>1.085</v>
      </c>
      <c r="EE58" s="56">
        <f t="shared" si="34"/>
        <v>12</v>
      </c>
      <c r="EF58" s="57">
        <f t="shared" si="42"/>
        <v>0.61250000000000004</v>
      </c>
      <c r="EG58">
        <f t="shared" si="21"/>
        <v>9.5</v>
      </c>
      <c r="EH58">
        <f t="shared" si="22"/>
        <v>13.5</v>
      </c>
      <c r="EI58">
        <f t="shared" si="35"/>
        <v>0.625</v>
      </c>
      <c r="EJ58">
        <f t="shared" si="36"/>
        <v>0.6</v>
      </c>
      <c r="EK58">
        <f t="shared" si="37"/>
        <v>0.62</v>
      </c>
      <c r="GP58" s="6">
        <f t="shared" si="11"/>
        <v>0.56000000000000005</v>
      </c>
      <c r="GQ58" s="8">
        <f t="shared" si="46"/>
        <v>0.52008602269805382</v>
      </c>
      <c r="GR58">
        <f t="shared" si="47"/>
        <v>0.9227588444163396</v>
      </c>
      <c r="GS58">
        <v>10</v>
      </c>
      <c r="GT58">
        <f t="shared" si="48"/>
        <v>9.2275884441633949</v>
      </c>
      <c r="GU58" s="8">
        <f t="shared" si="49"/>
        <v>0.52008602269805382</v>
      </c>
      <c r="GV58" s="8">
        <f t="shared" si="50"/>
        <v>0.56000000000000016</v>
      </c>
    </row>
    <row r="59" spans="1:204">
      <c r="A59" s="20">
        <v>21</v>
      </c>
      <c r="B59" s="27">
        <v>0.91640058055152396</v>
      </c>
      <c r="BH59">
        <f t="shared" si="51"/>
        <v>30</v>
      </c>
      <c r="BI59" s="7">
        <f t="shared" si="24"/>
        <v>0.45600000000000002</v>
      </c>
      <c r="DH59" s="56">
        <f t="shared" si="60"/>
        <v>7</v>
      </c>
      <c r="DI59" s="57">
        <f t="shared" si="29"/>
        <v>1.0831249999999999</v>
      </c>
      <c r="DJ59">
        <f t="shared" si="58"/>
        <v>5.5</v>
      </c>
      <c r="DK59">
        <f t="shared" si="59"/>
        <v>9.5</v>
      </c>
      <c r="DL59">
        <f t="shared" si="30"/>
        <v>0.375</v>
      </c>
      <c r="DM59">
        <f t="shared" si="31"/>
        <v>1.0820000000000001</v>
      </c>
      <c r="DN59">
        <f t="shared" si="32"/>
        <v>1.085</v>
      </c>
      <c r="EE59" s="56">
        <f t="shared" si="34"/>
        <v>13</v>
      </c>
      <c r="EF59" s="57">
        <f t="shared" si="42"/>
        <v>0.61749999999999994</v>
      </c>
      <c r="EG59">
        <f t="shared" si="21"/>
        <v>9.5</v>
      </c>
      <c r="EH59">
        <f t="shared" si="22"/>
        <v>13.5</v>
      </c>
      <c r="EI59">
        <f t="shared" si="35"/>
        <v>0.875</v>
      </c>
      <c r="EJ59">
        <f t="shared" si="36"/>
        <v>0.6</v>
      </c>
      <c r="EK59">
        <f t="shared" si="37"/>
        <v>0.62</v>
      </c>
      <c r="GP59" s="6">
        <f t="shared" si="11"/>
        <v>0.56999999999999995</v>
      </c>
      <c r="GQ59" s="8">
        <f t="shared" si="46"/>
        <v>0.52347033480011529</v>
      </c>
      <c r="GR59">
        <f t="shared" si="47"/>
        <v>0.91032792790797834</v>
      </c>
      <c r="GS59">
        <v>10</v>
      </c>
      <c r="GT59">
        <f t="shared" si="48"/>
        <v>9.1032792790797856</v>
      </c>
      <c r="GU59" s="8">
        <f t="shared" si="49"/>
        <v>0.52347033480011529</v>
      </c>
      <c r="GV59" s="8">
        <f t="shared" si="50"/>
        <v>0.56999999999999973</v>
      </c>
    </row>
    <row r="60" spans="1:204">
      <c r="A60" s="20">
        <v>22</v>
      </c>
      <c r="B60" s="27">
        <v>0.91797871031429756</v>
      </c>
      <c r="BH60">
        <f t="shared" si="51"/>
        <v>30.5</v>
      </c>
      <c r="BI60" s="7">
        <f t="shared" si="24"/>
        <v>0.45850000000000002</v>
      </c>
      <c r="DH60" s="56">
        <f t="shared" si="60"/>
        <v>8</v>
      </c>
      <c r="DI60" s="57">
        <f t="shared" si="29"/>
        <v>1.0838749999999999</v>
      </c>
      <c r="DJ60">
        <f t="shared" si="58"/>
        <v>5.5</v>
      </c>
      <c r="DK60">
        <f t="shared" si="59"/>
        <v>9.5</v>
      </c>
      <c r="DL60">
        <f t="shared" si="30"/>
        <v>0.625</v>
      </c>
      <c r="DM60">
        <f t="shared" si="31"/>
        <v>1.0820000000000001</v>
      </c>
      <c r="DN60">
        <f t="shared" si="32"/>
        <v>1.085</v>
      </c>
      <c r="EE60" s="56">
        <f t="shared" si="34"/>
        <v>14</v>
      </c>
      <c r="EF60" s="57">
        <f t="shared" si="42"/>
        <v>0.62249999999999994</v>
      </c>
      <c r="EG60">
        <f t="shared" si="21"/>
        <v>13.5</v>
      </c>
      <c r="EH60">
        <f t="shared" si="22"/>
        <v>17.5</v>
      </c>
      <c r="EI60">
        <f t="shared" si="35"/>
        <v>0.125</v>
      </c>
      <c r="EJ60">
        <f t="shared" si="36"/>
        <v>0.62</v>
      </c>
      <c r="EK60">
        <f t="shared" si="37"/>
        <v>0.64</v>
      </c>
      <c r="GP60" s="6">
        <f t="shared" si="11"/>
        <v>0.57999999999999996</v>
      </c>
      <c r="GQ60" s="8">
        <f t="shared" si="46"/>
        <v>0.52687186562805755</v>
      </c>
      <c r="GR60">
        <f t="shared" si="47"/>
        <v>0.89799468378891345</v>
      </c>
      <c r="GS60">
        <v>10</v>
      </c>
      <c r="GT60">
        <f t="shared" si="48"/>
        <v>8.9799468378891341</v>
      </c>
      <c r="GU60" s="8">
        <f t="shared" si="49"/>
        <v>0.52687186562805755</v>
      </c>
      <c r="GV60" s="8">
        <f t="shared" si="50"/>
        <v>0.57999999999999996</v>
      </c>
    </row>
    <row r="61" spans="1:204">
      <c r="A61" s="20">
        <v>23</v>
      </c>
      <c r="B61" s="27">
        <v>0.91955684007707128</v>
      </c>
      <c r="BH61">
        <f t="shared" si="51"/>
        <v>31</v>
      </c>
      <c r="BI61" s="7">
        <f t="shared" si="24"/>
        <v>0.46100000000000002</v>
      </c>
      <c r="DH61" s="56">
        <f t="shared" si="60"/>
        <v>9</v>
      </c>
      <c r="DI61" s="57">
        <f t="shared" si="29"/>
        <v>1.084625</v>
      </c>
      <c r="DJ61">
        <f t="shared" si="58"/>
        <v>5.5</v>
      </c>
      <c r="DK61">
        <f t="shared" si="59"/>
        <v>9.5</v>
      </c>
      <c r="DL61">
        <f t="shared" si="30"/>
        <v>0.875</v>
      </c>
      <c r="DM61">
        <f t="shared" si="31"/>
        <v>1.0820000000000001</v>
      </c>
      <c r="DN61">
        <f t="shared" si="32"/>
        <v>1.085</v>
      </c>
      <c r="EE61" s="56">
        <f t="shared" si="34"/>
        <v>15</v>
      </c>
      <c r="EF61" s="57">
        <f t="shared" si="42"/>
        <v>0.62749999999999995</v>
      </c>
      <c r="EG61">
        <f t="shared" si="21"/>
        <v>13.5</v>
      </c>
      <c r="EH61">
        <f t="shared" si="22"/>
        <v>17.5</v>
      </c>
      <c r="EI61">
        <f t="shared" si="35"/>
        <v>0.375</v>
      </c>
      <c r="EJ61">
        <f t="shared" si="36"/>
        <v>0.62</v>
      </c>
      <c r="EK61">
        <f t="shared" si="37"/>
        <v>0.64</v>
      </c>
      <c r="GP61" s="6">
        <f t="shared" si="11"/>
        <v>0.59</v>
      </c>
      <c r="GQ61" s="8">
        <f t="shared" si="46"/>
        <v>0.53029330001256003</v>
      </c>
      <c r="GR61">
        <f t="shared" si="47"/>
        <v>0.8857488864677624</v>
      </c>
      <c r="GS61">
        <v>10</v>
      </c>
      <c r="GT61">
        <f t="shared" si="48"/>
        <v>8.857488864677622</v>
      </c>
      <c r="GU61" s="8">
        <f t="shared" si="49"/>
        <v>0.53029330001256003</v>
      </c>
      <c r="GV61" s="8">
        <f t="shared" si="50"/>
        <v>0.59000000000000019</v>
      </c>
    </row>
    <row r="62" spans="1:204">
      <c r="A62" s="20">
        <v>24</v>
      </c>
      <c r="B62" s="27">
        <v>0.92097445038621506</v>
      </c>
      <c r="BH62">
        <f t="shared" si="51"/>
        <v>31.5</v>
      </c>
      <c r="BI62" s="7">
        <f t="shared" si="24"/>
        <v>0.46350000000000002</v>
      </c>
      <c r="DH62" s="56">
        <f t="shared" si="60"/>
        <v>10</v>
      </c>
      <c r="DI62" s="57">
        <f t="shared" si="29"/>
        <v>1.085375</v>
      </c>
      <c r="DJ62">
        <f t="shared" si="58"/>
        <v>9.5</v>
      </c>
      <c r="DK62">
        <f t="shared" si="59"/>
        <v>13.5</v>
      </c>
      <c r="DL62">
        <f t="shared" si="30"/>
        <v>0.125</v>
      </c>
      <c r="DM62">
        <f t="shared" si="31"/>
        <v>1.085</v>
      </c>
      <c r="DN62">
        <f t="shared" si="32"/>
        <v>1.0880000000000001</v>
      </c>
      <c r="EE62" s="56">
        <f t="shared" si="34"/>
        <v>16</v>
      </c>
      <c r="EF62" s="57">
        <f t="shared" si="42"/>
        <v>0.63250000000000006</v>
      </c>
      <c r="EG62">
        <f t="shared" si="21"/>
        <v>13.5</v>
      </c>
      <c r="EH62">
        <f t="shared" si="22"/>
        <v>17.5</v>
      </c>
      <c r="EI62">
        <f t="shared" si="35"/>
        <v>0.625</v>
      </c>
      <c r="EJ62">
        <f t="shared" si="36"/>
        <v>0.62</v>
      </c>
      <c r="EK62">
        <f t="shared" si="37"/>
        <v>0.64</v>
      </c>
      <c r="GP62" s="6">
        <f t="shared" si="11"/>
        <v>0.6</v>
      </c>
      <c r="GQ62" s="8">
        <f t="shared" si="46"/>
        <v>0.53373741817955345</v>
      </c>
      <c r="GR62">
        <f t="shared" si="47"/>
        <v>0.87358046473629891</v>
      </c>
      <c r="GS62">
        <v>10</v>
      </c>
      <c r="GT62">
        <f t="shared" si="48"/>
        <v>8.735804647362988</v>
      </c>
      <c r="GU62" s="8">
        <f t="shared" si="49"/>
        <v>0.53373741817955345</v>
      </c>
      <c r="GV62" s="8">
        <f t="shared" si="50"/>
        <v>0.60000000000000009</v>
      </c>
    </row>
    <row r="63" spans="1:204">
      <c r="A63" s="20">
        <v>25</v>
      </c>
      <c r="B63" s="27">
        <v>0.92247445038621501</v>
      </c>
      <c r="BH63">
        <f t="shared" si="51"/>
        <v>32</v>
      </c>
      <c r="BI63" s="7">
        <f t="shared" si="24"/>
        <v>0.46600000000000003</v>
      </c>
      <c r="DH63" s="56">
        <f t="shared" si="60"/>
        <v>11</v>
      </c>
      <c r="DI63" s="57">
        <f t="shared" si="29"/>
        <v>1.086125</v>
      </c>
      <c r="DJ63">
        <f t="shared" si="58"/>
        <v>9.5</v>
      </c>
      <c r="DK63">
        <f t="shared" si="59"/>
        <v>13.5</v>
      </c>
      <c r="DL63">
        <f t="shared" si="30"/>
        <v>0.375</v>
      </c>
      <c r="DM63">
        <f t="shared" si="31"/>
        <v>1.085</v>
      </c>
      <c r="DN63">
        <f t="shared" si="32"/>
        <v>1.0880000000000001</v>
      </c>
      <c r="EE63" s="56">
        <f t="shared" si="34"/>
        <v>17</v>
      </c>
      <c r="EF63" s="57">
        <f t="shared" si="42"/>
        <v>0.63750000000000007</v>
      </c>
      <c r="EG63">
        <f t="shared" si="21"/>
        <v>13.5</v>
      </c>
      <c r="EH63">
        <f t="shared" si="22"/>
        <v>17.5</v>
      </c>
      <c r="EI63">
        <f t="shared" si="35"/>
        <v>0.875</v>
      </c>
      <c r="EJ63">
        <f t="shared" si="36"/>
        <v>0.62</v>
      </c>
      <c r="EK63">
        <f t="shared" si="37"/>
        <v>0.64</v>
      </c>
      <c r="GP63" s="6">
        <f t="shared" si="11"/>
        <v>0.61</v>
      </c>
      <c r="GQ63" s="8">
        <f t="shared" si="46"/>
        <v>0.53720711124788578</v>
      </c>
      <c r="GR63">
        <f t="shared" si="47"/>
        <v>0.86147945375683166</v>
      </c>
      <c r="GS63">
        <v>10</v>
      </c>
      <c r="GT63">
        <f t="shared" si="48"/>
        <v>8.6147945375683168</v>
      </c>
      <c r="GU63" s="8">
        <f t="shared" si="49"/>
        <v>0.53720711124788589</v>
      </c>
      <c r="GV63" s="8">
        <f t="shared" si="50"/>
        <v>0.61</v>
      </c>
    </row>
    <row r="64" spans="1:204">
      <c r="A64" s="20">
        <v>26</v>
      </c>
      <c r="B64" s="27">
        <v>0.92397445038621495</v>
      </c>
      <c r="BH64">
        <f t="shared" si="51"/>
        <v>32.5</v>
      </c>
      <c r="BI64" s="7">
        <f t="shared" si="24"/>
        <v>0.46850000000000003</v>
      </c>
      <c r="DH64" s="56">
        <f t="shared" si="60"/>
        <v>12</v>
      </c>
      <c r="DI64" s="57">
        <f t="shared" si="29"/>
        <v>1.086875</v>
      </c>
      <c r="DJ64">
        <f t="shared" si="58"/>
        <v>9.5</v>
      </c>
      <c r="DK64">
        <f t="shared" si="59"/>
        <v>13.5</v>
      </c>
      <c r="DL64">
        <f t="shared" si="30"/>
        <v>0.625</v>
      </c>
      <c r="DM64">
        <f t="shared" si="31"/>
        <v>1.085</v>
      </c>
      <c r="DN64">
        <f t="shared" si="32"/>
        <v>1.0880000000000001</v>
      </c>
      <c r="EE64" s="56">
        <f t="shared" si="34"/>
        <v>18</v>
      </c>
      <c r="EF64" s="57">
        <f t="shared" si="42"/>
        <v>0.64250000000000007</v>
      </c>
      <c r="EG64">
        <f t="shared" si="21"/>
        <v>17.5</v>
      </c>
      <c r="EH64">
        <f t="shared" si="22"/>
        <v>21.5</v>
      </c>
      <c r="EI64">
        <f t="shared" si="35"/>
        <v>0.125</v>
      </c>
      <c r="EJ64">
        <f t="shared" si="36"/>
        <v>0.64</v>
      </c>
      <c r="EK64">
        <f t="shared" si="37"/>
        <v>0.66</v>
      </c>
      <c r="GP64" s="6">
        <f t="shared" si="11"/>
        <v>0.62</v>
      </c>
      <c r="GQ64" s="8">
        <f t="shared" si="46"/>
        <v>0.54070539816774288</v>
      </c>
      <c r="GR64">
        <f t="shared" si="47"/>
        <v>0.84943594679957357</v>
      </c>
      <c r="GS64">
        <v>10</v>
      </c>
      <c r="GT64">
        <f t="shared" si="48"/>
        <v>8.4943594679957375</v>
      </c>
      <c r="GU64" s="8">
        <f t="shared" si="49"/>
        <v>0.54070539816774288</v>
      </c>
      <c r="GV64" s="8">
        <f t="shared" si="50"/>
        <v>0.61999999999999977</v>
      </c>
    </row>
    <row r="65" spans="1:204">
      <c r="A65" s="20">
        <v>27</v>
      </c>
      <c r="B65" s="27">
        <v>0.9254744503862149</v>
      </c>
      <c r="BH65">
        <f t="shared" si="51"/>
        <v>33</v>
      </c>
      <c r="BI65" s="7">
        <f t="shared" si="24"/>
        <v>0.47100000000000003</v>
      </c>
      <c r="DH65" s="56">
        <f t="shared" si="60"/>
        <v>13</v>
      </c>
      <c r="DI65" s="57">
        <f t="shared" si="29"/>
        <v>1.0876250000000001</v>
      </c>
      <c r="DJ65">
        <f t="shared" si="58"/>
        <v>9.5</v>
      </c>
      <c r="DK65">
        <f t="shared" si="59"/>
        <v>13.5</v>
      </c>
      <c r="DL65">
        <f t="shared" si="30"/>
        <v>0.875</v>
      </c>
      <c r="DM65">
        <f t="shared" si="31"/>
        <v>1.085</v>
      </c>
      <c r="DN65">
        <f t="shared" si="32"/>
        <v>1.0880000000000001</v>
      </c>
      <c r="EE65" s="56">
        <f t="shared" si="34"/>
        <v>19</v>
      </c>
      <c r="EF65" s="57">
        <f t="shared" si="42"/>
        <v>0.64749999999999996</v>
      </c>
      <c r="EG65">
        <f t="shared" si="21"/>
        <v>17.5</v>
      </c>
      <c r="EH65">
        <f t="shared" si="22"/>
        <v>21.5</v>
      </c>
      <c r="EI65">
        <f t="shared" si="35"/>
        <v>0.375</v>
      </c>
      <c r="EJ65">
        <f t="shared" si="36"/>
        <v>0.64</v>
      </c>
      <c r="EK65">
        <f t="shared" si="37"/>
        <v>0.66</v>
      </c>
      <c r="GP65" s="6">
        <f t="shared" si="11"/>
        <v>0.63</v>
      </c>
      <c r="GQ65" s="8">
        <f t="shared" si="46"/>
        <v>0.54423544437181748</v>
      </c>
      <c r="GR65">
        <f t="shared" si="47"/>
        <v>0.83744004610770573</v>
      </c>
      <c r="GS65">
        <v>10</v>
      </c>
      <c r="GT65">
        <f t="shared" si="48"/>
        <v>8.374400461077057</v>
      </c>
      <c r="GU65" s="8">
        <f t="shared" si="49"/>
        <v>0.54423544437181737</v>
      </c>
      <c r="GV65" s="8">
        <f t="shared" si="50"/>
        <v>0.63</v>
      </c>
    </row>
    <row r="66" spans="1:204">
      <c r="A66" s="20">
        <v>28</v>
      </c>
      <c r="B66" s="27">
        <v>0.92697445038621484</v>
      </c>
      <c r="BH66">
        <f t="shared" si="51"/>
        <v>33.5</v>
      </c>
      <c r="BI66" s="7">
        <f t="shared" si="24"/>
        <v>0.47225000000000006</v>
      </c>
      <c r="DH66" s="56">
        <f t="shared" si="60"/>
        <v>14</v>
      </c>
      <c r="DI66" s="57">
        <f t="shared" si="29"/>
        <v>1.0883750000000001</v>
      </c>
      <c r="DJ66">
        <f t="shared" si="58"/>
        <v>13.5</v>
      </c>
      <c r="DK66">
        <f t="shared" si="59"/>
        <v>17.5</v>
      </c>
      <c r="DL66">
        <f t="shared" si="30"/>
        <v>0.125</v>
      </c>
      <c r="DM66">
        <f t="shared" si="31"/>
        <v>1.0880000000000001</v>
      </c>
      <c r="DN66">
        <f t="shared" si="32"/>
        <v>1.091</v>
      </c>
      <c r="EE66" s="56">
        <f t="shared" si="34"/>
        <v>20</v>
      </c>
      <c r="EF66" s="57">
        <f t="shared" si="42"/>
        <v>0.65250000000000008</v>
      </c>
      <c r="EG66">
        <f t="shared" si="21"/>
        <v>17.5</v>
      </c>
      <c r="EH66">
        <f t="shared" si="22"/>
        <v>21.5</v>
      </c>
      <c r="EI66">
        <f t="shared" si="35"/>
        <v>0.625</v>
      </c>
      <c r="EJ66">
        <f t="shared" si="36"/>
        <v>0.64</v>
      </c>
      <c r="EK66">
        <f t="shared" si="37"/>
        <v>0.66</v>
      </c>
      <c r="GP66" s="6">
        <f t="shared" si="11"/>
        <v>0.64</v>
      </c>
      <c r="GQ66" s="8">
        <f t="shared" si="46"/>
        <v>0.54780058245657326</v>
      </c>
      <c r="GR66">
        <f t="shared" si="47"/>
        <v>0.82548181222365669</v>
      </c>
      <c r="GS66">
        <v>10</v>
      </c>
      <c r="GT66">
        <f t="shared" si="48"/>
        <v>8.254818122236566</v>
      </c>
      <c r="GU66" s="8">
        <f t="shared" si="49"/>
        <v>0.54780058245657337</v>
      </c>
      <c r="GV66" s="8">
        <f t="shared" si="50"/>
        <v>0.64</v>
      </c>
    </row>
    <row r="67" spans="1:204">
      <c r="A67" s="21">
        <v>29</v>
      </c>
      <c r="B67" s="21">
        <v>0.92847445038621479</v>
      </c>
      <c r="BH67">
        <f t="shared" si="51"/>
        <v>34</v>
      </c>
      <c r="BI67" s="7">
        <f t="shared" si="24"/>
        <v>0.47350000000000003</v>
      </c>
      <c r="DH67" s="56">
        <f t="shared" si="60"/>
        <v>15</v>
      </c>
      <c r="DI67" s="57">
        <f t="shared" si="29"/>
        <v>1.0891250000000001</v>
      </c>
      <c r="DJ67">
        <f t="shared" si="58"/>
        <v>13.5</v>
      </c>
      <c r="DK67">
        <f t="shared" si="59"/>
        <v>17.5</v>
      </c>
      <c r="DL67">
        <f t="shared" si="30"/>
        <v>0.375</v>
      </c>
      <c r="DM67">
        <f t="shared" si="31"/>
        <v>1.0880000000000001</v>
      </c>
      <c r="DN67">
        <f t="shared" si="32"/>
        <v>1.091</v>
      </c>
      <c r="EE67" s="56">
        <f t="shared" si="34"/>
        <v>21</v>
      </c>
      <c r="EF67" s="57">
        <f t="shared" si="42"/>
        <v>0.65749999999999997</v>
      </c>
      <c r="EG67">
        <f t="shared" si="21"/>
        <v>17.5</v>
      </c>
      <c r="EH67">
        <f t="shared" si="22"/>
        <v>21.5</v>
      </c>
      <c r="EI67">
        <f t="shared" si="35"/>
        <v>0.875</v>
      </c>
      <c r="EJ67">
        <f t="shared" si="36"/>
        <v>0.64</v>
      </c>
      <c r="EK67">
        <f t="shared" si="37"/>
        <v>0.66</v>
      </c>
      <c r="GP67" s="6">
        <f t="shared" si="11"/>
        <v>0.65</v>
      </c>
      <c r="GQ67" s="8">
        <f t="shared" si="46"/>
        <v>0.55140433526693644</v>
      </c>
      <c r="GR67">
        <f t="shared" si="47"/>
        <v>0.81355121104714767</v>
      </c>
      <c r="GS67">
        <v>10</v>
      </c>
      <c r="GT67">
        <f t="shared" si="48"/>
        <v>8.1355121104714758</v>
      </c>
      <c r="GU67" s="8">
        <f t="shared" si="49"/>
        <v>0.55140433526693655</v>
      </c>
      <c r="GV67" s="8">
        <f t="shared" si="50"/>
        <v>0.65000000000000013</v>
      </c>
    </row>
    <row r="68" spans="1:204">
      <c r="A68">
        <v>30</v>
      </c>
      <c r="B68">
        <v>0.92997445038621473</v>
      </c>
      <c r="BH68">
        <f t="shared" si="51"/>
        <v>34.5</v>
      </c>
      <c r="BI68" s="7">
        <f t="shared" si="24"/>
        <v>0.47475000000000001</v>
      </c>
      <c r="DH68" s="56">
        <f t="shared" ref="DH68:DH82" si="63">DH67+1</f>
        <v>16</v>
      </c>
      <c r="DI68" s="57">
        <f t="shared" si="29"/>
        <v>1.0898750000000001</v>
      </c>
      <c r="DJ68">
        <f t="shared" si="58"/>
        <v>13.5</v>
      </c>
      <c r="DK68">
        <f t="shared" si="59"/>
        <v>17.5</v>
      </c>
      <c r="DL68">
        <f t="shared" si="30"/>
        <v>0.625</v>
      </c>
      <c r="DM68">
        <f t="shared" si="31"/>
        <v>1.0880000000000001</v>
      </c>
      <c r="DN68">
        <f t="shared" si="32"/>
        <v>1.091</v>
      </c>
      <c r="EE68" s="56">
        <f t="shared" si="34"/>
        <v>22</v>
      </c>
      <c r="EF68" s="57">
        <f t="shared" si="42"/>
        <v>0.66249999999999998</v>
      </c>
      <c r="EG68">
        <f t="shared" si="21"/>
        <v>21.5</v>
      </c>
      <c r="EH68">
        <f t="shared" si="22"/>
        <v>25.5</v>
      </c>
      <c r="EI68">
        <f t="shared" si="35"/>
        <v>0.125</v>
      </c>
      <c r="EJ68">
        <f t="shared" si="36"/>
        <v>0.66</v>
      </c>
      <c r="EK68">
        <f t="shared" si="37"/>
        <v>0.68</v>
      </c>
      <c r="GP68" s="6">
        <f t="shared" ref="GP68:GP102" si="64">+ROUND(GP67+1%,2)</f>
        <v>0.66</v>
      </c>
      <c r="GQ68" s="8">
        <f t="shared" si="46"/>
        <v>0.5550504418269806</v>
      </c>
      <c r="GR68">
        <f t="shared" si="47"/>
        <v>0.80163805781046182</v>
      </c>
      <c r="GS68">
        <v>10</v>
      </c>
      <c r="GT68">
        <f t="shared" si="48"/>
        <v>8.0163805781046165</v>
      </c>
      <c r="GU68" s="8">
        <f t="shared" si="49"/>
        <v>0.5550504418269806</v>
      </c>
      <c r="GV68" s="8">
        <f t="shared" si="50"/>
        <v>0.66000000000000014</v>
      </c>
    </row>
    <row r="69" spans="1:204">
      <c r="BH69">
        <f t="shared" si="51"/>
        <v>35</v>
      </c>
      <c r="BI69" s="7">
        <f t="shared" si="24"/>
        <v>0.47600000000000003</v>
      </c>
      <c r="DH69" s="56">
        <f t="shared" si="63"/>
        <v>17</v>
      </c>
      <c r="DI69" s="57">
        <f t="shared" si="29"/>
        <v>1.090625</v>
      </c>
      <c r="DJ69">
        <f t="shared" si="58"/>
        <v>13.5</v>
      </c>
      <c r="DK69">
        <f t="shared" si="59"/>
        <v>17.5</v>
      </c>
      <c r="DL69">
        <f t="shared" si="30"/>
        <v>0.875</v>
      </c>
      <c r="DM69">
        <f t="shared" si="31"/>
        <v>1.0880000000000001</v>
      </c>
      <c r="DN69">
        <f t="shared" si="32"/>
        <v>1.091</v>
      </c>
      <c r="EE69" s="56">
        <f t="shared" si="34"/>
        <v>23</v>
      </c>
      <c r="EF69" s="57">
        <f t="shared" si="42"/>
        <v>0.66749999999999998</v>
      </c>
      <c r="EG69">
        <f t="shared" si="21"/>
        <v>21.5</v>
      </c>
      <c r="EH69">
        <f t="shared" si="22"/>
        <v>25.5</v>
      </c>
      <c r="EI69">
        <f t="shared" si="35"/>
        <v>0.375</v>
      </c>
      <c r="EJ69">
        <f t="shared" si="36"/>
        <v>0.66</v>
      </c>
      <c r="EK69">
        <f t="shared" si="37"/>
        <v>0.68</v>
      </c>
      <c r="GP69" s="6">
        <f t="shared" si="64"/>
        <v>0.67</v>
      </c>
      <c r="GQ69" s="8">
        <f t="shared" si="46"/>
        <v>0.55874288664504679</v>
      </c>
      <c r="GR69">
        <f t="shared" si="47"/>
        <v>0.78973195704462018</v>
      </c>
      <c r="GS69">
        <v>10</v>
      </c>
      <c r="GT69">
        <f t="shared" si="48"/>
        <v>7.8973195704462027</v>
      </c>
      <c r="GU69" s="8">
        <f t="shared" si="49"/>
        <v>0.55874288664504679</v>
      </c>
      <c r="GV69" s="8">
        <f t="shared" si="50"/>
        <v>0.67</v>
      </c>
    </row>
    <row r="70" spans="1:204">
      <c r="BH70">
        <f t="shared" si="51"/>
        <v>35.5</v>
      </c>
      <c r="BI70" s="7">
        <f t="shared" si="24"/>
        <v>0.47725000000000006</v>
      </c>
      <c r="DH70" s="56">
        <f t="shared" si="63"/>
        <v>18</v>
      </c>
      <c r="DI70" s="57">
        <f t="shared" si="29"/>
        <v>1.091375</v>
      </c>
      <c r="DJ70">
        <f t="shared" ref="DJ70:DJ82" si="65">VLOOKUP(DH70,$DD$5:$DD$24,1,TRUE)</f>
        <v>17.5</v>
      </c>
      <c r="DK70">
        <f t="shared" ref="DK70:DK82" si="66">VLOOKUP(DH70,$DD$5:$DD$24,1,TRUE)+4</f>
        <v>21.5</v>
      </c>
      <c r="DL70">
        <f t="shared" si="30"/>
        <v>0.125</v>
      </c>
      <c r="DM70">
        <f t="shared" si="31"/>
        <v>1.091</v>
      </c>
      <c r="DN70">
        <f t="shared" si="32"/>
        <v>1.0940000000000001</v>
      </c>
      <c r="EE70" s="56">
        <f t="shared" si="34"/>
        <v>24</v>
      </c>
      <c r="EF70" s="57">
        <f t="shared" si="42"/>
        <v>0.6725000000000001</v>
      </c>
      <c r="EG70">
        <f t="shared" ref="EG70:EG76" si="67">VLOOKUP(EE70,$DD$5:$DD$24,1,TRUE)</f>
        <v>21.5</v>
      </c>
      <c r="EH70">
        <f t="shared" ref="EH70:EH76" si="68">VLOOKUP(EE70,$DD$5:$DD$24,1,TRUE)+4</f>
        <v>25.5</v>
      </c>
      <c r="EI70">
        <f t="shared" si="35"/>
        <v>0.625</v>
      </c>
      <c r="EJ70">
        <f t="shared" si="36"/>
        <v>0.66</v>
      </c>
      <c r="EK70">
        <f t="shared" si="37"/>
        <v>0.68</v>
      </c>
      <c r="GP70" s="6">
        <f t="shared" si="64"/>
        <v>0.68</v>
      </c>
      <c r="GQ70" s="8">
        <f t="shared" si="46"/>
        <v>0.56248593302868211</v>
      </c>
      <c r="GR70">
        <f t="shared" si="47"/>
        <v>0.7778222374656405</v>
      </c>
      <c r="GS70">
        <v>10</v>
      </c>
      <c r="GT70">
        <f t="shared" si="48"/>
        <v>7.778222374656405</v>
      </c>
      <c r="GU70" s="8">
        <f t="shared" si="49"/>
        <v>0.56248593302868211</v>
      </c>
      <c r="GV70" s="8">
        <f t="shared" si="50"/>
        <v>0.68</v>
      </c>
    </row>
    <row r="71" spans="1:204">
      <c r="BH71">
        <f t="shared" si="51"/>
        <v>36</v>
      </c>
      <c r="BI71" s="7">
        <f t="shared" ref="BI71:BI79" si="69">IF(MOD(BH71*2,2)=1,AVERAGE(BI70,BI72),VLOOKUP(BH71,$BB:$BF,5,FALSE))</f>
        <v>0.47850000000000004</v>
      </c>
      <c r="DH71" s="56">
        <f t="shared" si="63"/>
        <v>19</v>
      </c>
      <c r="DI71" s="57">
        <f t="shared" ref="DI71:DI81" si="70">DL71*DN71+DM71*(1-DL71)</f>
        <v>1.092125</v>
      </c>
      <c r="DJ71">
        <f t="shared" si="65"/>
        <v>17.5</v>
      </c>
      <c r="DK71">
        <f t="shared" si="66"/>
        <v>21.5</v>
      </c>
      <c r="DL71">
        <f t="shared" ref="DL71:DL82" si="71">(DH71-DJ71)/(DK71-DJ71)</f>
        <v>0.375</v>
      </c>
      <c r="DM71">
        <f t="shared" ref="DM71:DM82" si="72">VLOOKUP(DJ71,$DD$5:$DF$24,3,FALSE)</f>
        <v>1.091</v>
      </c>
      <c r="DN71">
        <f t="shared" ref="DN71:DN82" si="73">VLOOKUP(DK71,$DD$5:$DF$24,3,FALSE)</f>
        <v>1.0940000000000001</v>
      </c>
      <c r="EE71" s="56">
        <f t="shared" ref="EE71:EE76" si="74">EE70+1</f>
        <v>25</v>
      </c>
      <c r="EF71" s="57">
        <f>EI71*EK71+EJ71*(1-EI71)</f>
        <v>0.6775000000000001</v>
      </c>
      <c r="EG71">
        <f t="shared" si="67"/>
        <v>21.5</v>
      </c>
      <c r="EH71">
        <f t="shared" si="68"/>
        <v>25.5</v>
      </c>
      <c r="EI71">
        <f t="shared" ref="EI71:EI76" si="75">(EE71-EG71)/(EH71-EG71)</f>
        <v>0.875</v>
      </c>
      <c r="EJ71">
        <f t="shared" ref="EJ71:EJ76" si="76">VLOOKUP(EG71,$DX$3:$DZ$19,3,FALSE)</f>
        <v>0.66</v>
      </c>
      <c r="EK71">
        <f t="shared" ref="EK71:EK76" si="77">VLOOKUP(EH71,$DX$3:$DZ$19,3,FALSE)</f>
        <v>0.68</v>
      </c>
      <c r="GP71" s="6">
        <f t="shared" si="64"/>
        <v>0.69</v>
      </c>
      <c r="GQ71" s="8">
        <f t="shared" si="46"/>
        <v>0.56628416117859803</v>
      </c>
      <c r="GR71">
        <f t="shared" si="47"/>
        <v>0.76589788052471097</v>
      </c>
      <c r="GS71">
        <v>10</v>
      </c>
      <c r="GT71">
        <f t="shared" si="48"/>
        <v>7.6589788052471084</v>
      </c>
      <c r="GU71" s="8">
        <f t="shared" si="49"/>
        <v>0.56628416117859803</v>
      </c>
      <c r="GV71" s="8">
        <f t="shared" si="50"/>
        <v>0.69000000000000006</v>
      </c>
    </row>
    <row r="72" spans="1:204">
      <c r="BH72">
        <f t="shared" si="51"/>
        <v>36.5</v>
      </c>
      <c r="BI72" s="7">
        <f t="shared" si="69"/>
        <v>0.47975000000000001</v>
      </c>
      <c r="DH72" s="56">
        <f t="shared" si="63"/>
        <v>20</v>
      </c>
      <c r="DI72" s="57">
        <f t="shared" si="70"/>
        <v>1.092875</v>
      </c>
      <c r="DJ72">
        <f t="shared" si="65"/>
        <v>17.5</v>
      </c>
      <c r="DK72">
        <f t="shared" si="66"/>
        <v>21.5</v>
      </c>
      <c r="DL72">
        <f t="shared" si="71"/>
        <v>0.625</v>
      </c>
      <c r="DM72">
        <f t="shared" si="72"/>
        <v>1.091</v>
      </c>
      <c r="DN72">
        <f t="shared" si="73"/>
        <v>1.0940000000000001</v>
      </c>
      <c r="EE72" s="56">
        <f t="shared" si="74"/>
        <v>26</v>
      </c>
      <c r="EF72" s="57">
        <f>EF71+(EF71-EF70)</f>
        <v>0.68250000000000011</v>
      </c>
      <c r="EG72">
        <f t="shared" si="67"/>
        <v>25.5</v>
      </c>
      <c r="EH72">
        <f t="shared" si="68"/>
        <v>29.5</v>
      </c>
      <c r="EI72">
        <f t="shared" si="75"/>
        <v>0.125</v>
      </c>
      <c r="EJ72">
        <f t="shared" si="76"/>
        <v>0.68</v>
      </c>
      <c r="EK72" t="e">
        <f t="shared" si="77"/>
        <v>#N/A</v>
      </c>
      <c r="GP72" s="6">
        <f t="shared" si="64"/>
        <v>0.7</v>
      </c>
      <c r="GQ72" s="8">
        <f t="shared" si="46"/>
        <v>0.57014251199923149</v>
      </c>
      <c r="GR72">
        <f t="shared" si="47"/>
        <v>0.75394744112915379</v>
      </c>
      <c r="GS72">
        <v>10</v>
      </c>
      <c r="GT72">
        <f t="shared" si="48"/>
        <v>7.5394744112915388</v>
      </c>
      <c r="GU72" s="8">
        <f t="shared" si="49"/>
        <v>0.57014251199923149</v>
      </c>
      <c r="GV72" s="8">
        <f t="shared" si="50"/>
        <v>0.7</v>
      </c>
    </row>
    <row r="73" spans="1:204">
      <c r="BH73">
        <f t="shared" si="51"/>
        <v>37</v>
      </c>
      <c r="BI73" s="7">
        <f t="shared" si="69"/>
        <v>0.48100000000000004</v>
      </c>
      <c r="DH73" s="56">
        <f t="shared" si="63"/>
        <v>21</v>
      </c>
      <c r="DI73" s="57">
        <f t="shared" si="70"/>
        <v>1.0936250000000001</v>
      </c>
      <c r="DJ73">
        <f t="shared" si="65"/>
        <v>17.5</v>
      </c>
      <c r="DK73">
        <f t="shared" si="66"/>
        <v>21.5</v>
      </c>
      <c r="DL73">
        <f t="shared" si="71"/>
        <v>0.875</v>
      </c>
      <c r="DM73">
        <f t="shared" si="72"/>
        <v>1.091</v>
      </c>
      <c r="DN73">
        <f t="shared" si="73"/>
        <v>1.0940000000000001</v>
      </c>
      <c r="EE73" s="56">
        <f t="shared" si="74"/>
        <v>27</v>
      </c>
      <c r="EF73" s="57">
        <f>EF72+(EF72-EF71)</f>
        <v>0.68750000000000011</v>
      </c>
      <c r="EG73">
        <f t="shared" si="67"/>
        <v>25.5</v>
      </c>
      <c r="EH73">
        <f t="shared" si="68"/>
        <v>29.5</v>
      </c>
      <c r="EI73">
        <f t="shared" si="75"/>
        <v>0.375</v>
      </c>
      <c r="EJ73">
        <f t="shared" si="76"/>
        <v>0.68</v>
      </c>
      <c r="EK73" t="e">
        <f t="shared" si="77"/>
        <v>#N/A</v>
      </c>
      <c r="GP73" s="6">
        <f t="shared" si="64"/>
        <v>0.71</v>
      </c>
      <c r="GQ73" s="8">
        <f t="shared" si="46"/>
        <v>0.5740663377766595</v>
      </c>
      <c r="GR73">
        <f t="shared" si="47"/>
        <v>0.74195895873805762</v>
      </c>
      <c r="GS73">
        <v>10</v>
      </c>
      <c r="GT73">
        <f t="shared" si="48"/>
        <v>7.4195895873805799</v>
      </c>
      <c r="GU73" s="8">
        <f t="shared" si="49"/>
        <v>0.5740663377766595</v>
      </c>
      <c r="GV73" s="8">
        <f t="shared" si="50"/>
        <v>0.70999999999999974</v>
      </c>
    </row>
    <row r="74" spans="1:204">
      <c r="BH74">
        <f t="shared" si="51"/>
        <v>37.5</v>
      </c>
      <c r="BI74" s="7">
        <f t="shared" si="69"/>
        <v>0.48225000000000007</v>
      </c>
      <c r="DH74" s="56">
        <f t="shared" si="63"/>
        <v>22</v>
      </c>
      <c r="DI74" s="57">
        <f t="shared" si="70"/>
        <v>1.0943750000000001</v>
      </c>
      <c r="DJ74">
        <f t="shared" si="65"/>
        <v>21.5</v>
      </c>
      <c r="DK74">
        <f t="shared" si="66"/>
        <v>25.5</v>
      </c>
      <c r="DL74">
        <f t="shared" si="71"/>
        <v>0.125</v>
      </c>
      <c r="DM74">
        <f t="shared" si="72"/>
        <v>1.0940000000000001</v>
      </c>
      <c r="DN74">
        <f t="shared" si="73"/>
        <v>1.097</v>
      </c>
      <c r="EE74" s="56">
        <f t="shared" si="74"/>
        <v>28</v>
      </c>
      <c r="EF74" s="57">
        <f>EF73+(EF73-EF72)</f>
        <v>0.69250000000000012</v>
      </c>
      <c r="EG74">
        <f t="shared" si="67"/>
        <v>25.5</v>
      </c>
      <c r="EH74">
        <f t="shared" si="68"/>
        <v>29.5</v>
      </c>
      <c r="EI74">
        <f t="shared" si="75"/>
        <v>0.625</v>
      </c>
      <c r="EJ74">
        <f t="shared" si="76"/>
        <v>0.68</v>
      </c>
      <c r="EK74" t="e">
        <f t="shared" si="77"/>
        <v>#N/A</v>
      </c>
      <c r="GP74" s="6">
        <f t="shared" si="64"/>
        <v>0.72</v>
      </c>
      <c r="GQ74" s="8">
        <f t="shared" si="46"/>
        <v>0.57806146114634038</v>
      </c>
      <c r="GR74">
        <f t="shared" si="47"/>
        <v>0.72991985664798154</v>
      </c>
      <c r="GS74">
        <v>10</v>
      </c>
      <c r="GT74">
        <f t="shared" si="48"/>
        <v>7.2991985664798165</v>
      </c>
      <c r="GU74" s="8">
        <f t="shared" si="49"/>
        <v>0.57806146114634038</v>
      </c>
      <c r="GV74" s="8">
        <f t="shared" si="50"/>
        <v>0.71999999999999986</v>
      </c>
    </row>
    <row r="75" spans="1:204">
      <c r="BH75">
        <f t="shared" si="51"/>
        <v>38</v>
      </c>
      <c r="BI75" s="7">
        <f t="shared" si="69"/>
        <v>0.48350000000000004</v>
      </c>
      <c r="DH75" s="56">
        <f t="shared" si="63"/>
        <v>23</v>
      </c>
      <c r="DI75" s="57">
        <f t="shared" si="70"/>
        <v>1.0951250000000001</v>
      </c>
      <c r="DJ75">
        <f t="shared" si="65"/>
        <v>21.5</v>
      </c>
      <c r="DK75">
        <f t="shared" si="66"/>
        <v>25.5</v>
      </c>
      <c r="DL75">
        <f t="shared" si="71"/>
        <v>0.375</v>
      </c>
      <c r="DM75">
        <f t="shared" si="72"/>
        <v>1.0940000000000001</v>
      </c>
      <c r="DN75">
        <f t="shared" si="73"/>
        <v>1.097</v>
      </c>
      <c r="EE75" s="56">
        <f t="shared" si="74"/>
        <v>29</v>
      </c>
      <c r="EF75" s="57">
        <f>EF74+(EF74-EF73)</f>
        <v>0.69750000000000012</v>
      </c>
      <c r="EG75">
        <f t="shared" si="67"/>
        <v>25.5</v>
      </c>
      <c r="EH75">
        <f t="shared" si="68"/>
        <v>29.5</v>
      </c>
      <c r="EI75">
        <f t="shared" si="75"/>
        <v>0.875</v>
      </c>
      <c r="EJ75">
        <f t="shared" si="76"/>
        <v>0.68</v>
      </c>
      <c r="EK75" t="e">
        <f t="shared" si="77"/>
        <v>#N/A</v>
      </c>
      <c r="GP75" s="6">
        <f t="shared" si="64"/>
        <v>0.73</v>
      </c>
      <c r="GQ75" s="8">
        <f t="shared" si="46"/>
        <v>0.58213424412205528</v>
      </c>
      <c r="GR75">
        <f t="shared" si="47"/>
        <v>0.71781682678391179</v>
      </c>
      <c r="GS75">
        <v>10</v>
      </c>
      <c r="GT75">
        <f t="shared" si="48"/>
        <v>7.1781682678391165</v>
      </c>
      <c r="GU75" s="8">
        <f t="shared" si="49"/>
        <v>0.58213424412205528</v>
      </c>
      <c r="GV75" s="8">
        <f t="shared" si="50"/>
        <v>0.7300000000000002</v>
      </c>
    </row>
    <row r="76" spans="1:204">
      <c r="BH76">
        <f t="shared" si="51"/>
        <v>38.5</v>
      </c>
      <c r="BI76" s="7">
        <f t="shared" si="69"/>
        <v>0.48475000000000001</v>
      </c>
      <c r="DH76" s="56">
        <f t="shared" si="63"/>
        <v>24</v>
      </c>
      <c r="DI76" s="57">
        <f t="shared" si="70"/>
        <v>1.0958749999999999</v>
      </c>
      <c r="DJ76">
        <f t="shared" si="65"/>
        <v>21.5</v>
      </c>
      <c r="DK76">
        <f t="shared" si="66"/>
        <v>25.5</v>
      </c>
      <c r="DL76">
        <f t="shared" si="71"/>
        <v>0.625</v>
      </c>
      <c r="DM76">
        <f t="shared" si="72"/>
        <v>1.0940000000000001</v>
      </c>
      <c r="DN76">
        <f t="shared" si="73"/>
        <v>1.097</v>
      </c>
      <c r="EE76" s="56">
        <f t="shared" si="74"/>
        <v>30</v>
      </c>
      <c r="EF76" s="57">
        <f>EF75+(EF75-EF74)</f>
        <v>0.70250000000000012</v>
      </c>
      <c r="EG76">
        <f t="shared" si="67"/>
        <v>29.5</v>
      </c>
      <c r="EH76">
        <f t="shared" si="68"/>
        <v>33.5</v>
      </c>
      <c r="EI76">
        <f t="shared" si="75"/>
        <v>0.125</v>
      </c>
      <c r="EJ76" t="e">
        <f t="shared" si="76"/>
        <v>#N/A</v>
      </c>
      <c r="EK76" t="e">
        <f t="shared" si="77"/>
        <v>#N/A</v>
      </c>
      <c r="GP76" s="6">
        <f t="shared" si="64"/>
        <v>0.74</v>
      </c>
      <c r="GQ76" s="8">
        <f t="shared" si="46"/>
        <v>0.5862916694090361</v>
      </c>
      <c r="GR76">
        <f t="shared" si="47"/>
        <v>0.7056356966626679</v>
      </c>
      <c r="GS76">
        <v>10</v>
      </c>
      <c r="GT76">
        <f t="shared" si="48"/>
        <v>7.0563569666266819</v>
      </c>
      <c r="GU76" s="8">
        <f t="shared" si="49"/>
        <v>0.5862916694090361</v>
      </c>
      <c r="GV76" s="8">
        <f t="shared" si="50"/>
        <v>0.73999999999999977</v>
      </c>
    </row>
    <row r="77" spans="1:204">
      <c r="BH77">
        <f t="shared" si="51"/>
        <v>39</v>
      </c>
      <c r="BI77" s="7">
        <f t="shared" si="69"/>
        <v>0.48600000000000004</v>
      </c>
      <c r="DH77" s="56">
        <f t="shared" si="63"/>
        <v>25</v>
      </c>
      <c r="DI77" s="57">
        <f t="shared" si="70"/>
        <v>1.096625</v>
      </c>
      <c r="DJ77">
        <f t="shared" si="65"/>
        <v>21.5</v>
      </c>
      <c r="DK77">
        <f t="shared" si="66"/>
        <v>25.5</v>
      </c>
      <c r="DL77">
        <f t="shared" si="71"/>
        <v>0.875</v>
      </c>
      <c r="DM77">
        <f t="shared" si="72"/>
        <v>1.0940000000000001</v>
      </c>
      <c r="DN77">
        <f t="shared" si="73"/>
        <v>1.097</v>
      </c>
      <c r="EE77" s="56"/>
      <c r="EF77" s="57"/>
      <c r="GP77" s="6">
        <f t="shared" si="64"/>
        <v>0.75</v>
      </c>
      <c r="GQ77" s="8">
        <f t="shared" ref="GQ77:GQ102" si="78">1/(1+GR77)</f>
        <v>0.59054143681387616</v>
      </c>
      <c r="GR77">
        <f t="shared" ref="GR77:GR102" si="79">(1/GP77-1)^(1/3)</f>
        <v>0.69336127435063466</v>
      </c>
      <c r="GS77">
        <v>10</v>
      </c>
      <c r="GT77">
        <f t="shared" ref="GT77:GT102" si="80">+GS77*(1-GQ77)/GQ77</f>
        <v>6.9336127435063446</v>
      </c>
      <c r="GU77" s="8">
        <f t="shared" ref="GU77:GU102" si="81">+GS77/(GT77+GS77)</f>
        <v>0.59054143681387616</v>
      </c>
      <c r="GV77" s="8">
        <f t="shared" ref="GV77:GV102" si="82">+GS77^3/(GS77^3+GT77^3)</f>
        <v>0.75000000000000022</v>
      </c>
    </row>
    <row r="78" spans="1:204">
      <c r="BH78">
        <f t="shared" si="51"/>
        <v>39.5</v>
      </c>
      <c r="BI78" s="7">
        <f t="shared" si="69"/>
        <v>0.48725000000000007</v>
      </c>
      <c r="DH78" s="56">
        <f t="shared" si="63"/>
        <v>26</v>
      </c>
      <c r="DI78" s="57">
        <f t="shared" si="70"/>
        <v>1.097375</v>
      </c>
      <c r="DJ78">
        <f t="shared" si="65"/>
        <v>25.5</v>
      </c>
      <c r="DK78">
        <f t="shared" si="66"/>
        <v>29.5</v>
      </c>
      <c r="DL78">
        <f t="shared" si="71"/>
        <v>0.125</v>
      </c>
      <c r="DM78">
        <f t="shared" si="72"/>
        <v>1.097</v>
      </c>
      <c r="DN78">
        <f t="shared" si="73"/>
        <v>1.1000000000000001</v>
      </c>
      <c r="EE78" s="56"/>
      <c r="EF78" s="57"/>
      <c r="GP78" s="6">
        <f t="shared" si="64"/>
        <v>0.76</v>
      </c>
      <c r="GQ78" s="8">
        <f t="shared" si="78"/>
        <v>0.59489207834078917</v>
      </c>
      <c r="GR78">
        <f t="shared" si="79"/>
        <v>0.68097716612582149</v>
      </c>
      <c r="GS78">
        <v>10</v>
      </c>
      <c r="GT78">
        <f t="shared" si="80"/>
        <v>6.8097716612582158</v>
      </c>
      <c r="GU78" s="8">
        <f t="shared" si="81"/>
        <v>0.59489207834078905</v>
      </c>
      <c r="GV78" s="8">
        <f t="shared" si="82"/>
        <v>0.75999999999999979</v>
      </c>
    </row>
    <row r="79" spans="1:204">
      <c r="BH79">
        <f>BH78+0.5</f>
        <v>40</v>
      </c>
      <c r="BI79" s="7">
        <f t="shared" si="69"/>
        <v>0.48850000000000005</v>
      </c>
      <c r="DH79" s="56">
        <f t="shared" si="63"/>
        <v>27</v>
      </c>
      <c r="DI79" s="57">
        <f t="shared" si="70"/>
        <v>1.098125</v>
      </c>
      <c r="DJ79">
        <f t="shared" si="65"/>
        <v>25.5</v>
      </c>
      <c r="DK79">
        <f t="shared" si="66"/>
        <v>29.5</v>
      </c>
      <c r="DL79">
        <f t="shared" si="71"/>
        <v>0.375</v>
      </c>
      <c r="DM79">
        <f t="shared" si="72"/>
        <v>1.097</v>
      </c>
      <c r="DN79">
        <f t="shared" si="73"/>
        <v>1.1000000000000001</v>
      </c>
      <c r="EE79" s="56"/>
      <c r="EF79" s="57"/>
      <c r="GP79" s="6">
        <f t="shared" si="64"/>
        <v>0.77</v>
      </c>
      <c r="GQ79" s="8">
        <f t="shared" si="78"/>
        <v>0.59935309659800096</v>
      </c>
      <c r="GR79">
        <f t="shared" si="79"/>
        <v>0.66846556007822133</v>
      </c>
      <c r="GS79">
        <v>10</v>
      </c>
      <c r="GT79">
        <f t="shared" si="80"/>
        <v>6.6846556007822144</v>
      </c>
      <c r="GU79" s="8">
        <f t="shared" si="81"/>
        <v>0.59935309659800096</v>
      </c>
      <c r="GV79" s="8">
        <f t="shared" si="82"/>
        <v>0.76999999999999991</v>
      </c>
    </row>
    <row r="80" spans="1:204">
      <c r="DH80" s="56">
        <f t="shared" si="63"/>
        <v>28</v>
      </c>
      <c r="DI80" s="57">
        <f t="shared" si="70"/>
        <v>1.098875</v>
      </c>
      <c r="DJ80">
        <f t="shared" si="65"/>
        <v>25.5</v>
      </c>
      <c r="DK80">
        <f t="shared" si="66"/>
        <v>29.5</v>
      </c>
      <c r="DL80">
        <f t="shared" si="71"/>
        <v>0.625</v>
      </c>
      <c r="DM80">
        <f t="shared" si="72"/>
        <v>1.097</v>
      </c>
      <c r="DN80">
        <f t="shared" si="73"/>
        <v>1.1000000000000001</v>
      </c>
      <c r="EE80" s="56"/>
      <c r="EF80" s="57"/>
      <c r="GP80" s="6">
        <f t="shared" si="64"/>
        <v>0.78</v>
      </c>
      <c r="GQ80" s="8">
        <f t="shared" si="78"/>
        <v>0.60393513252966036</v>
      </c>
      <c r="GR80">
        <f t="shared" si="79"/>
        <v>0.65580696690283746</v>
      </c>
      <c r="GS80">
        <v>10</v>
      </c>
      <c r="GT80">
        <f t="shared" si="80"/>
        <v>6.5580696690283729</v>
      </c>
      <c r="GU80" s="8">
        <f t="shared" si="81"/>
        <v>0.60393513252966036</v>
      </c>
      <c r="GV80" s="8">
        <f t="shared" si="82"/>
        <v>0.78000000000000014</v>
      </c>
    </row>
    <row r="81" spans="112:204">
      <c r="DH81" s="56">
        <f t="shared" si="63"/>
        <v>29</v>
      </c>
      <c r="DI81" s="57">
        <f t="shared" si="70"/>
        <v>1.0996250000000001</v>
      </c>
      <c r="DJ81">
        <f t="shared" si="65"/>
        <v>25.5</v>
      </c>
      <c r="DK81">
        <f t="shared" si="66"/>
        <v>29.5</v>
      </c>
      <c r="DL81">
        <f t="shared" si="71"/>
        <v>0.875</v>
      </c>
      <c r="DM81">
        <f t="shared" si="72"/>
        <v>1.097</v>
      </c>
      <c r="DN81">
        <f t="shared" si="73"/>
        <v>1.1000000000000001</v>
      </c>
      <c r="EE81" s="56"/>
      <c r="EF81" s="57"/>
      <c r="GP81" s="6">
        <f t="shared" si="64"/>
        <v>0.79</v>
      </c>
      <c r="GQ81" s="8">
        <f t="shared" si="78"/>
        <v>0.60865017038332558</v>
      </c>
      <c r="GR81">
        <f t="shared" si="79"/>
        <v>0.64297990645464509</v>
      </c>
      <c r="GS81">
        <v>10</v>
      </c>
      <c r="GT81">
        <f t="shared" si="80"/>
        <v>6.42979906454645</v>
      </c>
      <c r="GU81" s="8">
        <f t="shared" si="81"/>
        <v>0.60865017038332558</v>
      </c>
      <c r="GV81" s="8">
        <f t="shared" si="82"/>
        <v>0.79000000000000026</v>
      </c>
    </row>
    <row r="82" spans="112:204">
      <c r="DH82" s="56">
        <f t="shared" si="63"/>
        <v>30</v>
      </c>
      <c r="DI82" s="57">
        <v>1.1000000000000001</v>
      </c>
      <c r="DJ82">
        <f t="shared" si="65"/>
        <v>29.5</v>
      </c>
      <c r="DK82">
        <f t="shared" si="66"/>
        <v>33.5</v>
      </c>
      <c r="DL82">
        <f t="shared" si="71"/>
        <v>0.125</v>
      </c>
      <c r="DM82">
        <f t="shared" si="72"/>
        <v>1.1000000000000001</v>
      </c>
      <c r="DN82" t="e">
        <f t="shared" si="73"/>
        <v>#N/A</v>
      </c>
      <c r="EE82" s="56"/>
      <c r="EF82" s="57"/>
      <c r="GP82" s="6">
        <f t="shared" si="64"/>
        <v>0.8</v>
      </c>
      <c r="GQ82" s="8">
        <f t="shared" si="78"/>
        <v>0.6135117904356906</v>
      </c>
      <c r="GR82">
        <f t="shared" si="79"/>
        <v>0.6299605249474366</v>
      </c>
      <c r="GS82">
        <v>10</v>
      </c>
      <c r="GT82">
        <f t="shared" si="80"/>
        <v>6.2996052494743671</v>
      </c>
      <c r="GU82" s="8">
        <f t="shared" si="81"/>
        <v>0.6135117904356906</v>
      </c>
      <c r="GV82" s="8">
        <f t="shared" si="82"/>
        <v>0.8</v>
      </c>
    </row>
    <row r="83" spans="112:204">
      <c r="GP83" s="6">
        <f t="shared" si="64"/>
        <v>0.81</v>
      </c>
      <c r="GQ83" s="8">
        <f t="shared" si="78"/>
        <v>0.61853548365217959</v>
      </c>
      <c r="GR83">
        <f t="shared" si="79"/>
        <v>0.61672212254572745</v>
      </c>
      <c r="GS83">
        <v>10</v>
      </c>
      <c r="GT83">
        <f t="shared" si="80"/>
        <v>6.1672212254572765</v>
      </c>
      <c r="GU83" s="8">
        <f t="shared" si="81"/>
        <v>0.61853548365217959</v>
      </c>
      <c r="GV83" s="8">
        <f t="shared" si="82"/>
        <v>0.80999999999999983</v>
      </c>
    </row>
    <row r="84" spans="112:204">
      <c r="GP84" s="6">
        <f t="shared" si="64"/>
        <v>0.82</v>
      </c>
      <c r="GQ84" s="8">
        <f t="shared" si="78"/>
        <v>0.62373904764159405</v>
      </c>
      <c r="GR84">
        <f t="shared" si="79"/>
        <v>0.60323456384697727</v>
      </c>
      <c r="GS84">
        <v>10</v>
      </c>
      <c r="GT84">
        <f t="shared" si="80"/>
        <v>6.0323456384697725</v>
      </c>
      <c r="GU84" s="8">
        <f t="shared" si="81"/>
        <v>0.62373904764159416</v>
      </c>
      <c r="GV84" s="8">
        <f t="shared" si="82"/>
        <v>0.82000000000000006</v>
      </c>
    </row>
    <row r="85" spans="112:204">
      <c r="GP85" s="6">
        <f t="shared" si="64"/>
        <v>0.83</v>
      </c>
      <c r="GQ85" s="8">
        <f t="shared" si="78"/>
        <v>0.62914309075151642</v>
      </c>
      <c r="GR85">
        <f t="shared" si="79"/>
        <v>0.58946353333625889</v>
      </c>
      <c r="GS85">
        <v>10</v>
      </c>
      <c r="GT85">
        <f t="shared" si="80"/>
        <v>5.8946353333625909</v>
      </c>
      <c r="GU85" s="8">
        <f t="shared" si="81"/>
        <v>0.62914309075151642</v>
      </c>
      <c r="GV85" s="8">
        <f t="shared" si="82"/>
        <v>0.82999999999999974</v>
      </c>
    </row>
    <row r="86" spans="112:204">
      <c r="GP86" s="6">
        <f t="shared" si="64"/>
        <v>0.84</v>
      </c>
      <c r="GQ86" s="8">
        <f t="shared" si="78"/>
        <v>0.63477168215249391</v>
      </c>
      <c r="GR86">
        <f t="shared" si="79"/>
        <v>0.5753695826647881</v>
      </c>
      <c r="GS86">
        <v>10</v>
      </c>
      <c r="GT86">
        <f t="shared" si="80"/>
        <v>5.7536958266478839</v>
      </c>
      <c r="GU86" s="8">
        <f t="shared" si="81"/>
        <v>0.6347716821524938</v>
      </c>
      <c r="GV86" s="8">
        <f t="shared" si="82"/>
        <v>0.83999999999999975</v>
      </c>
    </row>
    <row r="87" spans="112:204">
      <c r="GP87" s="6">
        <f t="shared" si="64"/>
        <v>0.85</v>
      </c>
      <c r="GQ87" s="8">
        <f t="shared" si="78"/>
        <v>0.64065320226381206</v>
      </c>
      <c r="GR87">
        <f t="shared" si="79"/>
        <v>0.56090689388018367</v>
      </c>
      <c r="GS87">
        <v>10</v>
      </c>
      <c r="GT87">
        <f t="shared" si="80"/>
        <v>5.6090689388018378</v>
      </c>
      <c r="GU87" s="8">
        <f t="shared" si="81"/>
        <v>0.64065320226381206</v>
      </c>
      <c r="GV87" s="8">
        <f t="shared" si="82"/>
        <v>0.84999999999999987</v>
      </c>
    </row>
    <row r="88" spans="112:204">
      <c r="GP88" s="6">
        <f t="shared" si="64"/>
        <v>0.86</v>
      </c>
      <c r="GQ88" s="8">
        <f t="shared" si="78"/>
        <v>0.64682147319821004</v>
      </c>
      <c r="GR88">
        <f t="shared" si="79"/>
        <v>0.54602164806851261</v>
      </c>
      <c r="GS88">
        <v>10</v>
      </c>
      <c r="GT88">
        <f t="shared" si="80"/>
        <v>5.4602164806851272</v>
      </c>
      <c r="GU88" s="8">
        <f t="shared" si="81"/>
        <v>0.64682147319821004</v>
      </c>
      <c r="GV88" s="8">
        <f t="shared" si="82"/>
        <v>0.85999999999999976</v>
      </c>
    </row>
    <row r="89" spans="112:204">
      <c r="GP89" s="6">
        <f t="shared" si="64"/>
        <v>0.87</v>
      </c>
      <c r="GQ89" s="8">
        <f t="shared" si="78"/>
        <v>0.65331728875605399</v>
      </c>
      <c r="GR89">
        <f t="shared" si="79"/>
        <v>0.53064983463708082</v>
      </c>
      <c r="GS89">
        <v>10</v>
      </c>
      <c r="GT89">
        <f t="shared" si="80"/>
        <v>5.3064983463708071</v>
      </c>
      <c r="GU89" s="8">
        <f t="shared" si="81"/>
        <v>0.65331728875605399</v>
      </c>
      <c r="GV89" s="8">
        <f t="shared" si="82"/>
        <v>0.87000000000000011</v>
      </c>
    </row>
    <row r="90" spans="112:204">
      <c r="GP90" s="6">
        <f t="shared" si="64"/>
        <v>0.88</v>
      </c>
      <c r="GQ90" s="8">
        <f t="shared" si="78"/>
        <v>0.66019052803397948</v>
      </c>
      <c r="GR90">
        <f t="shared" si="79"/>
        <v>0.51471424920008946</v>
      </c>
      <c r="GS90">
        <v>10</v>
      </c>
      <c r="GT90">
        <f t="shared" si="80"/>
        <v>5.1471424920008966</v>
      </c>
      <c r="GU90" s="8">
        <f t="shared" si="81"/>
        <v>0.66019052803397948</v>
      </c>
      <c r="GV90" s="8">
        <f t="shared" si="82"/>
        <v>0.87999999999999978</v>
      </c>
    </row>
    <row r="91" spans="112:204">
      <c r="GP91" s="6">
        <f t="shared" si="64"/>
        <v>0.89</v>
      </c>
      <c r="GQ91" s="8">
        <f t="shared" si="78"/>
        <v>0.66750314466901461</v>
      </c>
      <c r="GR91">
        <f t="shared" si="79"/>
        <v>0.49812028300758932</v>
      </c>
      <c r="GS91">
        <v>10</v>
      </c>
      <c r="GT91">
        <f t="shared" si="80"/>
        <v>4.981202830075893</v>
      </c>
      <c r="GU91" s="8">
        <f t="shared" si="81"/>
        <v>0.66750314466901461</v>
      </c>
      <c r="GV91" s="8">
        <f t="shared" si="82"/>
        <v>0.89</v>
      </c>
    </row>
    <row r="92" spans="112:204">
      <c r="GP92" s="6">
        <f t="shared" si="64"/>
        <v>0.9</v>
      </c>
      <c r="GQ92" s="8">
        <f t="shared" si="78"/>
        <v>0.67533351121296792</v>
      </c>
      <c r="GR92">
        <f t="shared" si="79"/>
        <v>0.48074985676913617</v>
      </c>
      <c r="GS92">
        <v>10</v>
      </c>
      <c r="GT92">
        <f t="shared" si="80"/>
        <v>4.8074985676913604</v>
      </c>
      <c r="GU92" s="8">
        <f t="shared" si="81"/>
        <v>0.67533351121296792</v>
      </c>
      <c r="GV92" s="8">
        <f t="shared" si="82"/>
        <v>0.9</v>
      </c>
    </row>
    <row r="93" spans="112:204">
      <c r="GP93" s="6">
        <f t="shared" si="64"/>
        <v>0.91</v>
      </c>
      <c r="GQ93" s="8">
        <f t="shared" si="78"/>
        <v>0.68378293816119173</v>
      </c>
      <c r="GR93">
        <f t="shared" si="79"/>
        <v>0.46245240147285577</v>
      </c>
      <c r="GS93">
        <v>10</v>
      </c>
      <c r="GT93">
        <f t="shared" si="80"/>
        <v>4.6245240147285562</v>
      </c>
      <c r="GU93" s="8">
        <f t="shared" si="81"/>
        <v>0.68378293816119173</v>
      </c>
      <c r="GV93" s="8">
        <f t="shared" si="82"/>
        <v>0.91000000000000014</v>
      </c>
    </row>
    <row r="94" spans="112:204">
      <c r="GP94" s="6">
        <f t="shared" si="64"/>
        <v>0.92</v>
      </c>
      <c r="GQ94" s="8">
        <f t="shared" si="78"/>
        <v>0.692985836314572</v>
      </c>
      <c r="GR94">
        <f t="shared" si="79"/>
        <v>0.44303093598303039</v>
      </c>
      <c r="GS94">
        <v>10</v>
      </c>
      <c r="GT94">
        <f t="shared" si="80"/>
        <v>4.4303093598303054</v>
      </c>
      <c r="GU94" s="8">
        <f t="shared" si="81"/>
        <v>0.692985836314572</v>
      </c>
      <c r="GV94" s="8">
        <f t="shared" si="82"/>
        <v>0.91999999999999993</v>
      </c>
    </row>
    <row r="95" spans="112:204">
      <c r="GP95" s="6">
        <f t="shared" si="64"/>
        <v>0.93</v>
      </c>
      <c r="GQ95" s="8">
        <f t="shared" si="78"/>
        <v>0.70312630895868355</v>
      </c>
      <c r="GR95">
        <f t="shared" si="79"/>
        <v>0.42221957457541393</v>
      </c>
      <c r="GS95">
        <v>10</v>
      </c>
      <c r="GT95">
        <f t="shared" si="80"/>
        <v>4.2221957457541395</v>
      </c>
      <c r="GU95" s="8">
        <f t="shared" si="81"/>
        <v>0.70312630895868355</v>
      </c>
      <c r="GV95" s="8">
        <f t="shared" si="82"/>
        <v>0.93</v>
      </c>
    </row>
    <row r="96" spans="112:204">
      <c r="GP96" s="6">
        <f t="shared" si="64"/>
        <v>0.94</v>
      </c>
      <c r="GQ96" s="8">
        <f t="shared" si="78"/>
        <v>0.71446684426909524</v>
      </c>
      <c r="GR96">
        <f t="shared" si="79"/>
        <v>0.39964507523509679</v>
      </c>
      <c r="GS96">
        <v>10</v>
      </c>
      <c r="GT96">
        <f t="shared" si="80"/>
        <v>3.996450752350968</v>
      </c>
      <c r="GU96" s="8">
        <f t="shared" si="81"/>
        <v>0.71446684426909524</v>
      </c>
      <c r="GV96" s="8">
        <f t="shared" si="82"/>
        <v>0.94000000000000006</v>
      </c>
    </row>
    <row r="97" spans="198:204">
      <c r="GP97" s="6">
        <f t="shared" si="64"/>
        <v>0.95</v>
      </c>
      <c r="GQ97" s="8">
        <f t="shared" si="78"/>
        <v>0.72740171449099766</v>
      </c>
      <c r="GR97">
        <f t="shared" si="79"/>
        <v>0.37475617678431533</v>
      </c>
      <c r="GS97">
        <v>10</v>
      </c>
      <c r="GT97">
        <f t="shared" si="80"/>
        <v>3.7475617678431528</v>
      </c>
      <c r="GU97" s="8">
        <f t="shared" si="81"/>
        <v>0.72740171449099766</v>
      </c>
      <c r="GV97" s="8">
        <f t="shared" si="82"/>
        <v>0.95000000000000007</v>
      </c>
    </row>
    <row r="98" spans="198:204">
      <c r="GP98" s="6">
        <f t="shared" si="64"/>
        <v>0.96</v>
      </c>
      <c r="GQ98" s="8">
        <f t="shared" si="78"/>
        <v>0.7425665539362879</v>
      </c>
      <c r="GR98">
        <f t="shared" si="79"/>
        <v>0.34668063717531761</v>
      </c>
      <c r="GS98">
        <v>10</v>
      </c>
      <c r="GT98">
        <f t="shared" si="80"/>
        <v>3.4668063717531754</v>
      </c>
      <c r="GU98" s="8">
        <f t="shared" si="81"/>
        <v>0.7425665539362879</v>
      </c>
      <c r="GV98" s="8">
        <f t="shared" si="82"/>
        <v>0.96</v>
      </c>
    </row>
    <row r="99" spans="198:204">
      <c r="GP99" s="6">
        <f t="shared" si="64"/>
        <v>0.97</v>
      </c>
      <c r="GQ99" s="8">
        <f t="shared" si="78"/>
        <v>0.76109633841409752</v>
      </c>
      <c r="GR99">
        <f t="shared" si="79"/>
        <v>0.31389411501270398</v>
      </c>
      <c r="GS99">
        <v>10</v>
      </c>
      <c r="GT99">
        <f t="shared" si="80"/>
        <v>3.1389411501270388</v>
      </c>
      <c r="GU99" s="8">
        <f t="shared" si="81"/>
        <v>0.76109633841409752</v>
      </c>
      <c r="GV99" s="8">
        <f t="shared" si="82"/>
        <v>0.96999999999999986</v>
      </c>
    </row>
    <row r="100" spans="198:204">
      <c r="GP100" s="6">
        <f t="shared" si="64"/>
        <v>0.98</v>
      </c>
      <c r="GQ100" s="8">
        <f t="shared" si="78"/>
        <v>0.78537574861232495</v>
      </c>
      <c r="GR100">
        <f t="shared" si="79"/>
        <v>0.27327588325319857</v>
      </c>
      <c r="GS100">
        <v>10</v>
      </c>
      <c r="GT100">
        <f t="shared" si="80"/>
        <v>2.7327588325319843</v>
      </c>
      <c r="GU100" s="8">
        <f t="shared" si="81"/>
        <v>0.78537574861232495</v>
      </c>
      <c r="GV100" s="8">
        <f t="shared" si="82"/>
        <v>0.98</v>
      </c>
    </row>
    <row r="101" spans="198:204">
      <c r="GP101" s="6">
        <f t="shared" si="64"/>
        <v>0.99</v>
      </c>
      <c r="GQ101" s="8">
        <f t="shared" si="78"/>
        <v>0.8222558753999778</v>
      </c>
      <c r="GR101">
        <f t="shared" si="79"/>
        <v>0.21616643908267644</v>
      </c>
      <c r="GS101">
        <v>10</v>
      </c>
      <c r="GT101">
        <f t="shared" si="80"/>
        <v>2.1616643908267656</v>
      </c>
      <c r="GU101" s="8">
        <f t="shared" si="81"/>
        <v>0.82225587539997791</v>
      </c>
      <c r="GV101" s="8">
        <f t="shared" si="82"/>
        <v>0.99</v>
      </c>
    </row>
    <row r="102" spans="198:204">
      <c r="GP102" s="6">
        <f t="shared" si="64"/>
        <v>1</v>
      </c>
      <c r="GQ102" s="8">
        <f t="shared" si="78"/>
        <v>1</v>
      </c>
      <c r="GR102">
        <f t="shared" si="79"/>
        <v>0</v>
      </c>
      <c r="GS102">
        <v>10</v>
      </c>
      <c r="GT102">
        <f t="shared" si="80"/>
        <v>0</v>
      </c>
      <c r="GU102" s="8">
        <f t="shared" si="81"/>
        <v>1</v>
      </c>
      <c r="GV102" s="8">
        <f t="shared" si="82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BE64-E1B0-4390-93A2-D8BAEF44A93D}">
  <dimension ref="A1:EO70"/>
  <sheetViews>
    <sheetView topLeftCell="BZ1" workbookViewId="0"/>
  </sheetViews>
  <sheetFormatPr defaultRowHeight="15"/>
  <cols>
    <col min="1" max="1" width="16.85546875" customWidth="1"/>
    <col min="74" max="74" width="10.140625" bestFit="1" customWidth="1"/>
    <col min="79" max="79" width="16.85546875" customWidth="1"/>
    <col min="104" max="104" width="9.28515625" bestFit="1" customWidth="1"/>
    <col min="109" max="109" width="16.85546875" customWidth="1"/>
    <col min="134" max="134" width="9.28515625" bestFit="1" customWidth="1"/>
    <col min="136" max="136" width="19" bestFit="1" customWidth="1"/>
    <col min="137" max="137" width="20" bestFit="1" customWidth="1"/>
    <col min="144" max="144" width="12" bestFit="1" customWidth="1"/>
  </cols>
  <sheetData>
    <row r="1" spans="1:137">
      <c r="CA1" t="s">
        <v>340</v>
      </c>
      <c r="DE1" t="s">
        <v>15</v>
      </c>
    </row>
    <row r="5" spans="1:137">
      <c r="AX5">
        <v>1</v>
      </c>
      <c r="AY5">
        <f>+AX5+0.5</f>
        <v>1.5</v>
      </c>
      <c r="AZ5">
        <f t="shared" ref="AZ5:BU5" si="0">+AY5+0.5</f>
        <v>2</v>
      </c>
      <c r="BA5">
        <f t="shared" si="0"/>
        <v>2.5</v>
      </c>
      <c r="BB5">
        <f t="shared" si="0"/>
        <v>3</v>
      </c>
      <c r="BC5">
        <f t="shared" si="0"/>
        <v>3.5</v>
      </c>
      <c r="BD5">
        <f t="shared" si="0"/>
        <v>4</v>
      </c>
      <c r="BE5">
        <f t="shared" si="0"/>
        <v>4.5</v>
      </c>
      <c r="BF5">
        <f t="shared" si="0"/>
        <v>5</v>
      </c>
      <c r="BG5">
        <f t="shared" si="0"/>
        <v>5.5</v>
      </c>
      <c r="BH5">
        <f t="shared" si="0"/>
        <v>6</v>
      </c>
      <c r="BI5">
        <f t="shared" si="0"/>
        <v>6.5</v>
      </c>
      <c r="BJ5">
        <f t="shared" si="0"/>
        <v>7</v>
      </c>
      <c r="BK5">
        <f t="shared" si="0"/>
        <v>7.5</v>
      </c>
      <c r="BL5">
        <f t="shared" si="0"/>
        <v>8</v>
      </c>
      <c r="BM5">
        <f t="shared" si="0"/>
        <v>8.5</v>
      </c>
      <c r="BN5">
        <f t="shared" si="0"/>
        <v>9</v>
      </c>
      <c r="BO5">
        <f t="shared" si="0"/>
        <v>9.5</v>
      </c>
      <c r="BP5">
        <f t="shared" si="0"/>
        <v>10</v>
      </c>
      <c r="BQ5">
        <f t="shared" si="0"/>
        <v>10.5</v>
      </c>
      <c r="BR5">
        <f t="shared" si="0"/>
        <v>11</v>
      </c>
      <c r="BS5">
        <f t="shared" si="0"/>
        <v>11.5</v>
      </c>
      <c r="BT5">
        <f t="shared" si="0"/>
        <v>12</v>
      </c>
      <c r="BU5">
        <f t="shared" si="0"/>
        <v>12.5</v>
      </c>
    </row>
    <row r="6" spans="1:137">
      <c r="A6" s="19" t="s">
        <v>43</v>
      </c>
      <c r="B6" s="19" t="s">
        <v>59</v>
      </c>
      <c r="C6" s="19">
        <v>1.5</v>
      </c>
      <c r="D6" s="19">
        <v>2</v>
      </c>
      <c r="E6" s="19">
        <v>2.5</v>
      </c>
      <c r="F6" s="19">
        <v>3</v>
      </c>
      <c r="G6" s="19">
        <v>3.5</v>
      </c>
      <c r="H6" s="19">
        <v>4</v>
      </c>
      <c r="I6" s="19">
        <v>4.5</v>
      </c>
      <c r="J6" s="19">
        <v>5</v>
      </c>
      <c r="K6" s="19">
        <v>5.5</v>
      </c>
      <c r="L6" s="19">
        <v>6</v>
      </c>
      <c r="M6" s="19">
        <v>6.5</v>
      </c>
      <c r="N6" s="19">
        <v>7</v>
      </c>
      <c r="O6" s="19">
        <v>7.5</v>
      </c>
      <c r="P6" s="19">
        <v>8</v>
      </c>
      <c r="Q6" s="19">
        <v>8.5</v>
      </c>
      <c r="R6" s="19">
        <v>9</v>
      </c>
      <c r="S6" s="19">
        <v>9.5</v>
      </c>
      <c r="T6" s="19">
        <v>10</v>
      </c>
      <c r="U6" s="19">
        <v>10.5</v>
      </c>
      <c r="V6" s="19">
        <v>11</v>
      </c>
      <c r="W6" s="19">
        <v>11.5</v>
      </c>
      <c r="X6" s="19">
        <v>12</v>
      </c>
      <c r="Y6" s="19" t="s">
        <v>60</v>
      </c>
      <c r="Z6" s="19" t="s">
        <v>59</v>
      </c>
      <c r="AA6" s="19">
        <v>1.5</v>
      </c>
      <c r="AB6" s="19">
        <v>2</v>
      </c>
      <c r="AC6" s="19">
        <v>2.5</v>
      </c>
      <c r="AD6" s="19">
        <v>3</v>
      </c>
      <c r="AE6" s="19">
        <v>3.5</v>
      </c>
      <c r="AF6" s="19">
        <v>4</v>
      </c>
      <c r="AG6" s="19">
        <v>4.5</v>
      </c>
      <c r="AH6" s="19">
        <v>5</v>
      </c>
      <c r="AI6" s="19">
        <v>5.5</v>
      </c>
      <c r="AJ6" s="19">
        <v>6</v>
      </c>
      <c r="AK6" s="19">
        <v>6.5</v>
      </c>
      <c r="AL6" s="19">
        <v>7</v>
      </c>
      <c r="AM6" s="19">
        <v>7.5</v>
      </c>
      <c r="AN6" s="19">
        <v>8</v>
      </c>
      <c r="AO6" s="19">
        <v>8.5</v>
      </c>
      <c r="AP6" s="19">
        <v>9</v>
      </c>
      <c r="AQ6" s="19">
        <v>9.5</v>
      </c>
      <c r="AR6" s="19">
        <v>10</v>
      </c>
      <c r="AS6" s="19">
        <v>10.5</v>
      </c>
      <c r="AT6" s="19">
        <v>11</v>
      </c>
      <c r="AU6" s="19">
        <v>11.5</v>
      </c>
      <c r="AV6" s="19">
        <v>12</v>
      </c>
      <c r="AW6" s="19" t="s">
        <v>60</v>
      </c>
      <c r="AX6" s="19" t="s">
        <v>59</v>
      </c>
      <c r="AY6" s="19">
        <v>1.5</v>
      </c>
      <c r="AZ6" s="19">
        <v>2</v>
      </c>
      <c r="BA6" s="19">
        <v>2.5</v>
      </c>
      <c r="BB6" s="19">
        <v>3</v>
      </c>
      <c r="BC6" s="19">
        <v>3.5</v>
      </c>
      <c r="BD6" s="19">
        <v>4</v>
      </c>
      <c r="BE6" s="19">
        <v>4.5</v>
      </c>
      <c r="BF6" s="19">
        <v>5</v>
      </c>
      <c r="BG6" s="19">
        <v>5.5</v>
      </c>
      <c r="BH6" s="19">
        <v>6</v>
      </c>
      <c r="BI6" s="19">
        <v>6.5</v>
      </c>
      <c r="BJ6" s="19">
        <v>7</v>
      </c>
      <c r="BK6" s="19">
        <v>7.5</v>
      </c>
      <c r="BL6" s="19">
        <v>8</v>
      </c>
      <c r="BM6" s="19">
        <v>8.5</v>
      </c>
      <c r="BN6" s="19">
        <v>9</v>
      </c>
      <c r="BO6" s="19">
        <v>9.5</v>
      </c>
      <c r="BP6" s="19">
        <v>10</v>
      </c>
      <c r="BQ6" s="19">
        <v>10.5</v>
      </c>
      <c r="BR6" s="19">
        <v>11</v>
      </c>
      <c r="BS6" s="19">
        <v>11.5</v>
      </c>
      <c r="BT6" s="19">
        <v>12</v>
      </c>
      <c r="BU6" s="19" t="s">
        <v>60</v>
      </c>
      <c r="BV6" s="19"/>
      <c r="BW6" s="19"/>
      <c r="BX6" s="19"/>
      <c r="CA6" s="19" t="s">
        <v>43</v>
      </c>
      <c r="CB6">
        <v>0</v>
      </c>
      <c r="CC6">
        <f t="shared" ref="CC6:CY6" si="1">+AY5</f>
        <v>1.5</v>
      </c>
      <c r="CD6">
        <f t="shared" si="1"/>
        <v>2</v>
      </c>
      <c r="CE6">
        <f t="shared" si="1"/>
        <v>2.5</v>
      </c>
      <c r="CF6">
        <f t="shared" si="1"/>
        <v>3</v>
      </c>
      <c r="CG6">
        <f t="shared" si="1"/>
        <v>3.5</v>
      </c>
      <c r="CH6">
        <f t="shared" si="1"/>
        <v>4</v>
      </c>
      <c r="CI6">
        <f t="shared" si="1"/>
        <v>4.5</v>
      </c>
      <c r="CJ6">
        <f t="shared" si="1"/>
        <v>5</v>
      </c>
      <c r="CK6">
        <f t="shared" si="1"/>
        <v>5.5</v>
      </c>
      <c r="CL6">
        <f t="shared" si="1"/>
        <v>6</v>
      </c>
      <c r="CM6">
        <f t="shared" si="1"/>
        <v>6.5</v>
      </c>
      <c r="CN6">
        <f t="shared" si="1"/>
        <v>7</v>
      </c>
      <c r="CO6">
        <f t="shared" si="1"/>
        <v>7.5</v>
      </c>
      <c r="CP6">
        <f t="shared" si="1"/>
        <v>8</v>
      </c>
      <c r="CQ6">
        <f t="shared" si="1"/>
        <v>8.5</v>
      </c>
      <c r="CR6">
        <f t="shared" si="1"/>
        <v>9</v>
      </c>
      <c r="CS6">
        <f t="shared" si="1"/>
        <v>9.5</v>
      </c>
      <c r="CT6">
        <f t="shared" si="1"/>
        <v>10</v>
      </c>
      <c r="CU6">
        <f t="shared" si="1"/>
        <v>10.5</v>
      </c>
      <c r="CV6">
        <f t="shared" si="1"/>
        <v>11</v>
      </c>
      <c r="CW6">
        <f t="shared" si="1"/>
        <v>11.5</v>
      </c>
      <c r="CX6">
        <f t="shared" si="1"/>
        <v>12</v>
      </c>
      <c r="CY6">
        <f t="shared" si="1"/>
        <v>12.5</v>
      </c>
      <c r="CZ6" t="s">
        <v>209</v>
      </c>
      <c r="DA6" t="s">
        <v>208</v>
      </c>
      <c r="DB6" t="s">
        <v>217</v>
      </c>
      <c r="DC6" t="s">
        <v>218</v>
      </c>
      <c r="DE6" s="19" t="s">
        <v>43</v>
      </c>
      <c r="DF6">
        <f>CB6</f>
        <v>0</v>
      </c>
      <c r="DG6">
        <f t="shared" ref="DG6:EC6" si="2">CC6</f>
        <v>1.5</v>
      </c>
      <c r="DH6">
        <f t="shared" si="2"/>
        <v>2</v>
      </c>
      <c r="DI6">
        <f t="shared" si="2"/>
        <v>2.5</v>
      </c>
      <c r="DJ6">
        <f t="shared" si="2"/>
        <v>3</v>
      </c>
      <c r="DK6">
        <f t="shared" si="2"/>
        <v>3.5</v>
      </c>
      <c r="DL6">
        <f t="shared" si="2"/>
        <v>4</v>
      </c>
      <c r="DM6">
        <f t="shared" si="2"/>
        <v>4.5</v>
      </c>
      <c r="DN6">
        <f t="shared" si="2"/>
        <v>5</v>
      </c>
      <c r="DO6">
        <f t="shared" si="2"/>
        <v>5.5</v>
      </c>
      <c r="DP6">
        <f t="shared" si="2"/>
        <v>6</v>
      </c>
      <c r="DQ6">
        <f t="shared" si="2"/>
        <v>6.5</v>
      </c>
      <c r="DR6">
        <f t="shared" si="2"/>
        <v>7</v>
      </c>
      <c r="DS6">
        <f t="shared" si="2"/>
        <v>7.5</v>
      </c>
      <c r="DT6">
        <f t="shared" si="2"/>
        <v>8</v>
      </c>
      <c r="DU6">
        <f t="shared" si="2"/>
        <v>8.5</v>
      </c>
      <c r="DV6">
        <f t="shared" si="2"/>
        <v>9</v>
      </c>
      <c r="DW6">
        <f t="shared" si="2"/>
        <v>9.5</v>
      </c>
      <c r="DX6">
        <f t="shared" si="2"/>
        <v>10</v>
      </c>
      <c r="DY6">
        <f t="shared" si="2"/>
        <v>10.5</v>
      </c>
      <c r="DZ6">
        <f t="shared" si="2"/>
        <v>11</v>
      </c>
      <c r="EA6">
        <f t="shared" si="2"/>
        <v>11.5</v>
      </c>
      <c r="EB6">
        <f t="shared" si="2"/>
        <v>12</v>
      </c>
      <c r="EC6">
        <f t="shared" si="2"/>
        <v>12.5</v>
      </c>
      <c r="ED6" t="s">
        <v>209</v>
      </c>
      <c r="EE6" t="s">
        <v>208</v>
      </c>
    </row>
    <row r="7" spans="1:137">
      <c r="A7" s="20" t="s">
        <v>45</v>
      </c>
      <c r="B7">
        <v>227</v>
      </c>
      <c r="C7">
        <v>306</v>
      </c>
      <c r="D7">
        <v>541</v>
      </c>
      <c r="E7">
        <v>1007</v>
      </c>
      <c r="F7">
        <v>2189</v>
      </c>
      <c r="G7">
        <v>4509</v>
      </c>
      <c r="H7">
        <v>7448</v>
      </c>
      <c r="I7">
        <v>8869</v>
      </c>
      <c r="J7">
        <v>10451</v>
      </c>
      <c r="K7">
        <v>11651</v>
      </c>
      <c r="L7">
        <v>12376</v>
      </c>
      <c r="M7">
        <v>12635</v>
      </c>
      <c r="N7">
        <v>12247</v>
      </c>
      <c r="O7">
        <v>10902</v>
      </c>
      <c r="P7">
        <v>9242</v>
      </c>
      <c r="Q7">
        <v>7522</v>
      </c>
      <c r="R7">
        <v>5256</v>
      </c>
      <c r="S7">
        <v>3641</v>
      </c>
      <c r="T7">
        <v>1996</v>
      </c>
      <c r="U7">
        <v>1057</v>
      </c>
      <c r="V7">
        <v>522</v>
      </c>
      <c r="W7">
        <v>250</v>
      </c>
      <c r="X7">
        <v>130</v>
      </c>
      <c r="Y7">
        <v>100</v>
      </c>
      <c r="Z7">
        <v>195</v>
      </c>
      <c r="AA7">
        <v>264</v>
      </c>
      <c r="AB7">
        <v>441</v>
      </c>
      <c r="AC7">
        <v>804</v>
      </c>
      <c r="AD7">
        <v>1627</v>
      </c>
      <c r="AE7">
        <v>3226</v>
      </c>
      <c r="AF7">
        <v>5017</v>
      </c>
      <c r="AG7">
        <v>5730</v>
      </c>
      <c r="AH7">
        <v>6269</v>
      </c>
      <c r="AI7">
        <v>6680</v>
      </c>
      <c r="AJ7">
        <v>6703</v>
      </c>
      <c r="AK7">
        <v>6507</v>
      </c>
      <c r="AL7">
        <v>5983</v>
      </c>
      <c r="AM7">
        <v>5187</v>
      </c>
      <c r="AN7">
        <v>4241</v>
      </c>
      <c r="AO7">
        <v>3217</v>
      </c>
      <c r="AP7">
        <v>2214</v>
      </c>
      <c r="AQ7">
        <v>1361</v>
      </c>
      <c r="AR7">
        <v>734</v>
      </c>
      <c r="AS7">
        <v>379</v>
      </c>
      <c r="AT7">
        <v>164</v>
      </c>
      <c r="AU7">
        <v>74</v>
      </c>
      <c r="AV7">
        <v>40</v>
      </c>
      <c r="AW7">
        <v>34</v>
      </c>
      <c r="AX7" s="8">
        <v>0.8590308370044053</v>
      </c>
      <c r="AY7" s="8">
        <v>0.86274509803921573</v>
      </c>
      <c r="AZ7" s="8">
        <v>0.81515711645101663</v>
      </c>
      <c r="BA7" s="8">
        <v>0.79841112214498511</v>
      </c>
      <c r="BB7" s="8">
        <v>0.7432617633622659</v>
      </c>
      <c r="BC7" s="8">
        <v>0.71545797294300284</v>
      </c>
      <c r="BD7" s="8">
        <v>0.67360365198711059</v>
      </c>
      <c r="BE7" s="8">
        <v>0.6460705829293043</v>
      </c>
      <c r="BF7" s="8">
        <v>0.5998469046024304</v>
      </c>
      <c r="BG7" s="8">
        <v>0.57334134409063597</v>
      </c>
      <c r="BH7" s="8">
        <v>0.54161279896574011</v>
      </c>
      <c r="BI7" s="8">
        <v>0.51499802136921247</v>
      </c>
      <c r="BJ7" s="8">
        <v>0.48852780272719848</v>
      </c>
      <c r="BK7" s="8">
        <v>0.47578425976884975</v>
      </c>
      <c r="BL7" s="8">
        <v>0.45888335858039386</v>
      </c>
      <c r="BM7" s="8">
        <v>0.42767880882743953</v>
      </c>
      <c r="BN7" s="8">
        <v>0.42123287671232879</v>
      </c>
      <c r="BO7" s="8">
        <v>0.37379840703103545</v>
      </c>
      <c r="BP7" s="8">
        <v>0.36773547094188375</v>
      </c>
      <c r="BQ7" s="8">
        <v>0.35856196783349104</v>
      </c>
      <c r="BR7" s="8">
        <v>0.31417624521072796</v>
      </c>
      <c r="BS7" s="8">
        <v>0.29599999999999999</v>
      </c>
      <c r="BT7" s="8">
        <v>0.30769230769230771</v>
      </c>
      <c r="BU7" s="8">
        <v>0.34</v>
      </c>
      <c r="BV7">
        <v>125074</v>
      </c>
      <c r="BW7">
        <v>67091</v>
      </c>
      <c r="BX7" s="8">
        <v>0.53641044501655022</v>
      </c>
      <c r="BZ7" t="s">
        <v>61</v>
      </c>
      <c r="CA7" s="20" t="s">
        <v>45</v>
      </c>
      <c r="DE7" s="20" t="s">
        <v>45</v>
      </c>
    </row>
    <row r="8" spans="1:137">
      <c r="A8" s="20" t="s">
        <v>47</v>
      </c>
      <c r="B8">
        <v>74</v>
      </c>
      <c r="C8">
        <v>137</v>
      </c>
      <c r="D8">
        <v>208</v>
      </c>
      <c r="E8">
        <v>366</v>
      </c>
      <c r="F8">
        <v>764</v>
      </c>
      <c r="G8">
        <v>1455</v>
      </c>
      <c r="H8">
        <v>2355</v>
      </c>
      <c r="I8">
        <v>2962</v>
      </c>
      <c r="J8">
        <v>3356</v>
      </c>
      <c r="K8">
        <v>3895</v>
      </c>
      <c r="L8">
        <v>4342</v>
      </c>
      <c r="M8">
        <v>4520</v>
      </c>
      <c r="N8">
        <v>4483</v>
      </c>
      <c r="O8">
        <v>4332</v>
      </c>
      <c r="P8">
        <v>3943</v>
      </c>
      <c r="Q8">
        <v>3259</v>
      </c>
      <c r="R8">
        <v>2562</v>
      </c>
      <c r="S8">
        <v>1797</v>
      </c>
      <c r="T8">
        <v>1114</v>
      </c>
      <c r="U8">
        <v>579</v>
      </c>
      <c r="V8">
        <v>307</v>
      </c>
      <c r="W8">
        <v>168</v>
      </c>
      <c r="X8">
        <v>79</v>
      </c>
      <c r="Y8">
        <v>42</v>
      </c>
      <c r="Z8">
        <v>44</v>
      </c>
      <c r="AA8">
        <v>84</v>
      </c>
      <c r="AB8">
        <v>128</v>
      </c>
      <c r="AC8">
        <v>222</v>
      </c>
      <c r="AD8">
        <v>518</v>
      </c>
      <c r="AE8">
        <v>949</v>
      </c>
      <c r="AF8">
        <v>1541</v>
      </c>
      <c r="AG8">
        <v>1978</v>
      </c>
      <c r="AH8">
        <v>2260</v>
      </c>
      <c r="AI8">
        <v>2517</v>
      </c>
      <c r="AJ8">
        <v>2840</v>
      </c>
      <c r="AK8">
        <v>2886</v>
      </c>
      <c r="AL8">
        <v>2732</v>
      </c>
      <c r="AM8">
        <v>2592</v>
      </c>
      <c r="AN8">
        <v>2280</v>
      </c>
      <c r="AO8">
        <v>1846</v>
      </c>
      <c r="AP8">
        <v>1393</v>
      </c>
      <c r="AQ8">
        <v>936</v>
      </c>
      <c r="AR8">
        <v>519</v>
      </c>
      <c r="AS8">
        <v>282</v>
      </c>
      <c r="AT8">
        <v>130</v>
      </c>
      <c r="AU8">
        <v>89</v>
      </c>
      <c r="AV8">
        <v>32</v>
      </c>
      <c r="AW8">
        <v>24</v>
      </c>
      <c r="AX8" s="8">
        <v>0.59459459459459463</v>
      </c>
      <c r="AY8" s="8">
        <v>0.61313868613138689</v>
      </c>
      <c r="AZ8" s="8">
        <v>0.61538461538461542</v>
      </c>
      <c r="BA8" s="8">
        <v>0.60655737704918034</v>
      </c>
      <c r="BB8" s="8">
        <v>0.67801047120418845</v>
      </c>
      <c r="BC8" s="8">
        <v>0.65223367697594503</v>
      </c>
      <c r="BD8" s="8">
        <v>0.65435244161358808</v>
      </c>
      <c r="BE8" s="8">
        <v>0.66779203241053342</v>
      </c>
      <c r="BF8" s="8">
        <v>0.67342073897497023</v>
      </c>
      <c r="BG8" s="8">
        <v>0.64621309370988445</v>
      </c>
      <c r="BH8" s="8">
        <v>0.65407646245969597</v>
      </c>
      <c r="BI8" s="8">
        <v>0.6384955752212389</v>
      </c>
      <c r="BJ8" s="8">
        <v>0.60941333928173103</v>
      </c>
      <c r="BK8" s="8">
        <v>0.5983379501385041</v>
      </c>
      <c r="BL8" s="8">
        <v>0.57823991884352022</v>
      </c>
      <c r="BM8" s="8">
        <v>0.56643142068119057</v>
      </c>
      <c r="BN8" s="8">
        <v>0.54371584699453557</v>
      </c>
      <c r="BO8" s="8">
        <v>0.52086811352253759</v>
      </c>
      <c r="BP8" s="8">
        <v>0.46588868940754041</v>
      </c>
      <c r="BQ8" s="8">
        <v>0.48704663212435234</v>
      </c>
      <c r="BR8" s="8">
        <v>0.42345276872964172</v>
      </c>
      <c r="BS8" s="8">
        <v>0.52976190476190477</v>
      </c>
      <c r="BT8" s="8">
        <v>0.4050632911392405</v>
      </c>
      <c r="BU8" s="8">
        <v>0.5714285714285714</v>
      </c>
      <c r="BV8">
        <v>47099</v>
      </c>
      <c r="BW8">
        <v>28822</v>
      </c>
      <c r="BX8" s="8">
        <v>0.61194505191193016</v>
      </c>
      <c r="BZ8" t="s">
        <v>62</v>
      </c>
      <c r="CA8" s="20" t="s">
        <v>47</v>
      </c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E8" s="20" t="s">
        <v>47</v>
      </c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 t="s">
        <v>220</v>
      </c>
      <c r="EE8" s="60"/>
      <c r="EF8" t="s">
        <v>221</v>
      </c>
    </row>
    <row r="9" spans="1:137">
      <c r="A9" s="20" t="s">
        <v>50</v>
      </c>
      <c r="B9">
        <v>62</v>
      </c>
      <c r="C9">
        <v>81</v>
      </c>
      <c r="D9">
        <v>121</v>
      </c>
      <c r="E9">
        <v>194</v>
      </c>
      <c r="F9">
        <v>441</v>
      </c>
      <c r="G9">
        <v>926</v>
      </c>
      <c r="H9">
        <v>1603</v>
      </c>
      <c r="I9">
        <v>1916</v>
      </c>
      <c r="J9">
        <v>2267</v>
      </c>
      <c r="K9">
        <v>2478</v>
      </c>
      <c r="L9">
        <v>2635</v>
      </c>
      <c r="M9">
        <v>2709</v>
      </c>
      <c r="N9">
        <v>2646</v>
      </c>
      <c r="O9">
        <v>2341</v>
      </c>
      <c r="P9">
        <v>2089</v>
      </c>
      <c r="Q9">
        <v>1611</v>
      </c>
      <c r="R9">
        <v>1181</v>
      </c>
      <c r="S9">
        <v>847</v>
      </c>
      <c r="T9">
        <v>441</v>
      </c>
      <c r="U9">
        <v>204</v>
      </c>
      <c r="V9">
        <v>110</v>
      </c>
      <c r="W9">
        <v>41</v>
      </c>
      <c r="X9">
        <v>20</v>
      </c>
      <c r="Y9">
        <v>8</v>
      </c>
      <c r="Z9">
        <v>50</v>
      </c>
      <c r="AA9">
        <v>64</v>
      </c>
      <c r="AB9">
        <v>92</v>
      </c>
      <c r="AC9">
        <v>153</v>
      </c>
      <c r="AD9">
        <v>304</v>
      </c>
      <c r="AE9">
        <v>614</v>
      </c>
      <c r="AF9">
        <v>988</v>
      </c>
      <c r="AG9">
        <v>1085</v>
      </c>
      <c r="AH9">
        <v>1173</v>
      </c>
      <c r="AI9">
        <v>1147</v>
      </c>
      <c r="AJ9">
        <v>1162</v>
      </c>
      <c r="AK9">
        <v>1130</v>
      </c>
      <c r="AL9">
        <v>1017</v>
      </c>
      <c r="AM9">
        <v>883</v>
      </c>
      <c r="AN9">
        <v>682</v>
      </c>
      <c r="AO9">
        <v>540</v>
      </c>
      <c r="AP9">
        <v>367</v>
      </c>
      <c r="AQ9">
        <v>244</v>
      </c>
      <c r="AR9">
        <v>125</v>
      </c>
      <c r="AS9">
        <v>54</v>
      </c>
      <c r="AT9">
        <v>24</v>
      </c>
      <c r="AU9">
        <v>4</v>
      </c>
      <c r="AV9">
        <v>6</v>
      </c>
      <c r="AW9">
        <v>0</v>
      </c>
      <c r="AX9" s="8">
        <v>0.80645161290322576</v>
      </c>
      <c r="AY9" s="8">
        <v>0.79012345679012341</v>
      </c>
      <c r="AZ9" s="8">
        <v>0.76033057851239672</v>
      </c>
      <c r="BA9" s="8">
        <v>0.78865979381443296</v>
      </c>
      <c r="BB9" s="8">
        <v>0.68934240362811794</v>
      </c>
      <c r="BC9" s="8">
        <v>0.66306695464362853</v>
      </c>
      <c r="BD9" s="8">
        <v>0.61634435433562074</v>
      </c>
      <c r="BE9" s="8">
        <v>0.56628392484342382</v>
      </c>
      <c r="BF9" s="8">
        <v>0.51742390824878692</v>
      </c>
      <c r="BG9" s="8">
        <v>0.46287328490718321</v>
      </c>
      <c r="BH9" s="8">
        <v>0.44098671726755218</v>
      </c>
      <c r="BI9" s="8">
        <v>0.41712809154669622</v>
      </c>
      <c r="BJ9" s="8">
        <v>0.38435374149659862</v>
      </c>
      <c r="BK9" s="8">
        <v>0.37718923536950022</v>
      </c>
      <c r="BL9" s="8">
        <v>0.32647199617041645</v>
      </c>
      <c r="BM9" s="8">
        <v>0.33519553072625696</v>
      </c>
      <c r="BN9" s="8">
        <v>0.3107535986452159</v>
      </c>
      <c r="BO9" s="8">
        <v>0.28807556080283353</v>
      </c>
      <c r="BP9" s="8">
        <v>0.28344671201814059</v>
      </c>
      <c r="BQ9" s="8">
        <v>0.26470588235294118</v>
      </c>
      <c r="BR9" s="8">
        <v>0.21818181818181817</v>
      </c>
      <c r="BS9" s="8">
        <v>9.7560975609756101E-2</v>
      </c>
      <c r="BT9" s="8">
        <v>0.3</v>
      </c>
      <c r="BU9" s="8">
        <v>0</v>
      </c>
      <c r="BV9">
        <v>26972</v>
      </c>
      <c r="BW9">
        <v>11908</v>
      </c>
      <c r="BX9" s="8">
        <v>0.44149488358297495</v>
      </c>
      <c r="CA9" s="20" t="s">
        <v>50</v>
      </c>
      <c r="CB9" s="8">
        <f>+AX9</f>
        <v>0.80645161290322576</v>
      </c>
      <c r="CC9" s="8">
        <f>+AY9</f>
        <v>0.79012345679012341</v>
      </c>
      <c r="CD9" s="8">
        <v>0.75700000000000001</v>
      </c>
      <c r="CE9" s="8">
        <v>0.72299999999999998</v>
      </c>
      <c r="CF9" s="8">
        <f t="shared" ref="CF9:CO9" si="3">+BB9</f>
        <v>0.68934240362811794</v>
      </c>
      <c r="CG9" s="8">
        <f t="shared" si="3"/>
        <v>0.66306695464362853</v>
      </c>
      <c r="CH9" s="8">
        <f t="shared" si="3"/>
        <v>0.61634435433562074</v>
      </c>
      <c r="CI9" s="8">
        <f t="shared" si="3"/>
        <v>0.56628392484342382</v>
      </c>
      <c r="CJ9" s="8">
        <f t="shared" si="3"/>
        <v>0.51742390824878692</v>
      </c>
      <c r="CK9" s="8">
        <f t="shared" si="3"/>
        <v>0.46287328490718321</v>
      </c>
      <c r="CL9" s="8">
        <f t="shared" si="3"/>
        <v>0.44098671726755218</v>
      </c>
      <c r="CM9" s="8">
        <f t="shared" si="3"/>
        <v>0.41712809154669622</v>
      </c>
      <c r="CN9" s="8">
        <f t="shared" si="3"/>
        <v>0.38435374149659862</v>
      </c>
      <c r="CO9" s="8">
        <f t="shared" si="3"/>
        <v>0.37718923536950022</v>
      </c>
      <c r="CP9" s="8">
        <v>0.36</v>
      </c>
      <c r="CQ9" s="8">
        <f>+BM9</f>
        <v>0.33519553072625696</v>
      </c>
      <c r="CR9" s="8">
        <f>+BN9</f>
        <v>0.3107535986452159</v>
      </c>
      <c r="CS9" s="8">
        <f>+BO9</f>
        <v>0.28807556080283353</v>
      </c>
      <c r="CT9" s="8">
        <f>+BP9</f>
        <v>0.28344671201814059</v>
      </c>
      <c r="CU9" s="8">
        <f>+BQ9</f>
        <v>0.26470588235294118</v>
      </c>
      <c r="CV9" s="8">
        <v>0.25</v>
      </c>
      <c r="CW9" s="8">
        <v>0.24</v>
      </c>
      <c r="CX9" s="8">
        <v>0.23</v>
      </c>
      <c r="CY9" s="8">
        <v>0.22</v>
      </c>
      <c r="CZ9" s="7">
        <f>SUMPRODUCT(CB9:CY9,B9:Y9)/SUM(B9:Y9)</f>
        <v>0.44396407385436759</v>
      </c>
      <c r="DA9" s="7">
        <f>BX9</f>
        <v>0.44149488358297495</v>
      </c>
      <c r="DB9" s="60">
        <f t="shared" ref="DB9:DB20" si="4">SUMPRODUCT(CB9:CY9,B33:Y33)/SUM(B33:Y33)</f>
        <v>0.42159669617373341</v>
      </c>
      <c r="DC9" s="60">
        <f t="shared" ref="DC9:DC20" si="5">BX33</f>
        <v>0.43930635838150289</v>
      </c>
      <c r="DE9" s="20" t="s">
        <v>50</v>
      </c>
      <c r="DF9" s="8">
        <f>CB9*$EF9</f>
        <v>0.8793126352350753</v>
      </c>
      <c r="DG9" s="8">
        <f t="shared" ref="DG9:EC9" si="6">CC9*$EF9</f>
        <v>0.86150926829945151</v>
      </c>
      <c r="DH9" s="8">
        <f t="shared" si="6"/>
        <v>0.82539318444246046</v>
      </c>
      <c r="DI9" s="8">
        <f t="shared" si="6"/>
        <v>0.78832136374094974</v>
      </c>
      <c r="DJ9" s="8">
        <f t="shared" si="6"/>
        <v>0.75162288203676642</v>
      </c>
      <c r="DK9" s="8">
        <f t="shared" si="6"/>
        <v>0.7229735075189816</v>
      </c>
      <c r="DL9" s="8">
        <f t="shared" si="6"/>
        <v>0.67202962924466347</v>
      </c>
      <c r="DM9" s="8">
        <f t="shared" si="6"/>
        <v>0.61744635670421211</v>
      </c>
      <c r="DN9" s="8">
        <f t="shared" si="6"/>
        <v>0.56417195156688205</v>
      </c>
      <c r="DO9" s="8">
        <f t="shared" si="6"/>
        <v>0.50469280663524729</v>
      </c>
      <c r="DP9" s="8">
        <f t="shared" si="6"/>
        <v>0.48082883865560355</v>
      </c>
      <c r="DQ9" s="8">
        <f t="shared" si="6"/>
        <v>0.45481464174654396</v>
      </c>
      <c r="DR9" s="8">
        <f t="shared" si="6"/>
        <v>0.41907920560931544</v>
      </c>
      <c r="DS9" s="8">
        <f t="shared" si="6"/>
        <v>0.41126740306347231</v>
      </c>
      <c r="DT9" s="8">
        <f t="shared" si="6"/>
        <v>0.39252516036893759</v>
      </c>
      <c r="DU9" s="8">
        <f t="shared" si="6"/>
        <v>0.36547966514798658</v>
      </c>
      <c r="DV9" s="8">
        <f t="shared" si="6"/>
        <v>0.33882946150954957</v>
      </c>
      <c r="DW9" s="8">
        <f t="shared" si="6"/>
        <v>0.31410251584028853</v>
      </c>
      <c r="DX9" s="8">
        <f t="shared" si="6"/>
        <v>0.30905546136380196</v>
      </c>
      <c r="DY9" s="8">
        <f t="shared" si="6"/>
        <v>0.28862144144774826</v>
      </c>
      <c r="DZ9" s="8">
        <f t="shared" si="6"/>
        <v>0.27258691692287335</v>
      </c>
      <c r="EA9" s="8">
        <f t="shared" si="6"/>
        <v>0.26168344024595841</v>
      </c>
      <c r="EB9" s="8">
        <f t="shared" si="6"/>
        <v>0.25077996356904347</v>
      </c>
      <c r="EC9" s="8">
        <f t="shared" si="6"/>
        <v>0.23987648689212854</v>
      </c>
      <c r="ED9" s="7">
        <f>SUMPRODUCT(DF9:EC9,Z33:AW33)/SUM(Z33:AW33)</f>
        <v>0.50742930331408065</v>
      </c>
      <c r="EE9" s="7">
        <f>DC9</f>
        <v>0.43930635838150289</v>
      </c>
      <c r="EF9" s="6">
        <v>1.0903476676914934</v>
      </c>
      <c r="EG9" s="8">
        <f>CY9*$DC9/$DB9</f>
        <v>0.22924135725224887</v>
      </c>
    </row>
    <row r="10" spans="1:137">
      <c r="A10" s="20" t="s">
        <v>53</v>
      </c>
      <c r="B10">
        <v>44</v>
      </c>
      <c r="C10">
        <v>61</v>
      </c>
      <c r="D10">
        <v>120</v>
      </c>
      <c r="E10">
        <v>188</v>
      </c>
      <c r="F10">
        <v>421</v>
      </c>
      <c r="G10">
        <v>991</v>
      </c>
      <c r="H10">
        <v>1623</v>
      </c>
      <c r="I10">
        <v>1883</v>
      </c>
      <c r="J10">
        <v>2213</v>
      </c>
      <c r="K10">
        <v>2532</v>
      </c>
      <c r="L10">
        <v>2704</v>
      </c>
      <c r="M10">
        <v>2801</v>
      </c>
      <c r="N10">
        <v>2670</v>
      </c>
      <c r="O10">
        <v>2436</v>
      </c>
      <c r="P10">
        <v>2007</v>
      </c>
      <c r="Q10">
        <v>1554</v>
      </c>
      <c r="R10">
        <v>1204</v>
      </c>
      <c r="S10">
        <v>776</v>
      </c>
      <c r="T10">
        <v>421</v>
      </c>
      <c r="U10">
        <v>224</v>
      </c>
      <c r="V10">
        <v>96</v>
      </c>
      <c r="W10">
        <v>49</v>
      </c>
      <c r="X10">
        <v>14</v>
      </c>
      <c r="Y10">
        <v>11</v>
      </c>
      <c r="Z10">
        <v>13</v>
      </c>
      <c r="AA10">
        <v>15</v>
      </c>
      <c r="AB10">
        <v>30</v>
      </c>
      <c r="AC10">
        <v>40</v>
      </c>
      <c r="AD10">
        <v>79</v>
      </c>
      <c r="AE10">
        <v>169</v>
      </c>
      <c r="AF10">
        <v>249</v>
      </c>
      <c r="AG10">
        <v>271</v>
      </c>
      <c r="AH10">
        <v>316</v>
      </c>
      <c r="AI10">
        <v>361</v>
      </c>
      <c r="AJ10">
        <v>327</v>
      </c>
      <c r="AK10">
        <v>311</v>
      </c>
      <c r="AL10">
        <v>296</v>
      </c>
      <c r="AM10">
        <v>247</v>
      </c>
      <c r="AN10">
        <v>204</v>
      </c>
      <c r="AO10">
        <v>171</v>
      </c>
      <c r="AP10">
        <v>116</v>
      </c>
      <c r="AQ10">
        <v>78</v>
      </c>
      <c r="AR10">
        <v>42</v>
      </c>
      <c r="AS10">
        <v>19</v>
      </c>
      <c r="AT10">
        <v>7</v>
      </c>
      <c r="AU10">
        <v>6</v>
      </c>
      <c r="AV10">
        <v>0</v>
      </c>
      <c r="AW10">
        <v>1</v>
      </c>
      <c r="AX10" s="8">
        <v>0.29545454545454547</v>
      </c>
      <c r="AY10" s="8">
        <v>0.24590163934426229</v>
      </c>
      <c r="AZ10" s="8">
        <v>0.25</v>
      </c>
      <c r="BA10" s="8">
        <v>0.21276595744680851</v>
      </c>
      <c r="BB10" s="8">
        <v>0.18764845605700711</v>
      </c>
      <c r="BC10" s="8">
        <v>0.17053481331987891</v>
      </c>
      <c r="BD10" s="8">
        <v>0.15341959334565619</v>
      </c>
      <c r="BE10" s="8">
        <v>0.14391927774827404</v>
      </c>
      <c r="BF10" s="8">
        <v>0.14279258924536828</v>
      </c>
      <c r="BG10" s="8">
        <v>0.14257503949447078</v>
      </c>
      <c r="BH10" s="8">
        <v>0.12093195266272189</v>
      </c>
      <c r="BI10" s="8">
        <v>0.11103177436629776</v>
      </c>
      <c r="BJ10" s="8">
        <v>0.11086142322097378</v>
      </c>
      <c r="BK10" s="8">
        <v>0.10139573070607553</v>
      </c>
      <c r="BL10" s="8">
        <v>0.10164424514200299</v>
      </c>
      <c r="BM10" s="8">
        <v>0.11003861003861004</v>
      </c>
      <c r="BN10" s="8">
        <v>9.634551495016612E-2</v>
      </c>
      <c r="BO10" s="8">
        <v>0.10051546391752578</v>
      </c>
      <c r="BP10" s="8">
        <v>9.9762470308788598E-2</v>
      </c>
      <c r="BQ10" s="8">
        <v>8.4821428571428575E-2</v>
      </c>
      <c r="BR10" s="8">
        <v>7.2916666666666671E-2</v>
      </c>
      <c r="BS10" s="8">
        <v>0.12244897959183673</v>
      </c>
      <c r="BT10" s="8">
        <v>0</v>
      </c>
      <c r="BU10" s="8">
        <v>9.0909090909090912E-2</v>
      </c>
      <c r="BV10">
        <v>27043</v>
      </c>
      <c r="BW10">
        <v>3368</v>
      </c>
      <c r="BX10" s="8">
        <v>0.12454239544429242</v>
      </c>
      <c r="CA10" s="20" t="s">
        <v>53</v>
      </c>
      <c r="CB10" s="8">
        <v>0.27</v>
      </c>
      <c r="CC10" s="8">
        <v>0.25</v>
      </c>
      <c r="CD10" s="8">
        <v>0.23</v>
      </c>
      <c r="CE10" s="8">
        <f t="shared" ref="CE10:CL10" si="7">+BA10</f>
        <v>0.21276595744680851</v>
      </c>
      <c r="CF10" s="8">
        <f t="shared" si="7"/>
        <v>0.18764845605700711</v>
      </c>
      <c r="CG10" s="8">
        <f t="shared" si="7"/>
        <v>0.17053481331987891</v>
      </c>
      <c r="CH10" s="8">
        <f t="shared" si="7"/>
        <v>0.15341959334565619</v>
      </c>
      <c r="CI10" s="8">
        <f t="shared" si="7"/>
        <v>0.14391927774827404</v>
      </c>
      <c r="CJ10" s="8">
        <f t="shared" si="7"/>
        <v>0.14279258924536828</v>
      </c>
      <c r="CK10" s="8">
        <f t="shared" si="7"/>
        <v>0.14257503949447078</v>
      </c>
      <c r="CL10" s="8">
        <f t="shared" si="7"/>
        <v>0.12093195266272189</v>
      </c>
      <c r="CM10" s="7">
        <f>CL10-0.004</f>
        <v>0.11693195266272188</v>
      </c>
      <c r="CN10" s="7">
        <f t="shared" ref="CN10:CY10" si="8">CM10-0.004</f>
        <v>0.11293195266272188</v>
      </c>
      <c r="CO10" s="7">
        <f t="shared" si="8"/>
        <v>0.10893195266272188</v>
      </c>
      <c r="CP10" s="7">
        <f t="shared" si="8"/>
        <v>0.10493195266272187</v>
      </c>
      <c r="CQ10" s="7">
        <f t="shared" si="8"/>
        <v>0.10093195266272187</v>
      </c>
      <c r="CR10" s="7">
        <f t="shared" si="8"/>
        <v>9.6931952662721865E-2</v>
      </c>
      <c r="CS10" s="7">
        <f t="shared" si="8"/>
        <v>9.2931952662721862E-2</v>
      </c>
      <c r="CT10" s="7">
        <f t="shared" si="8"/>
        <v>8.8931952662721858E-2</v>
      </c>
      <c r="CU10" s="7">
        <f t="shared" si="8"/>
        <v>8.4931952662721855E-2</v>
      </c>
      <c r="CV10" s="7">
        <f t="shared" si="8"/>
        <v>8.0931952662721851E-2</v>
      </c>
      <c r="CW10" s="7">
        <f t="shared" si="8"/>
        <v>7.6931952662721848E-2</v>
      </c>
      <c r="CX10" s="7">
        <f t="shared" si="8"/>
        <v>7.2931952662721844E-2</v>
      </c>
      <c r="CY10" s="7">
        <f t="shared" si="8"/>
        <v>6.893195266272184E-2</v>
      </c>
      <c r="CZ10" s="7">
        <f>SUMPRODUCT(CB10:CY10,B10:Y10)/SUM(B10:Y10)</f>
        <v>0.12525217027801658</v>
      </c>
      <c r="DA10" s="7">
        <f>BX10</f>
        <v>0.12454239544429242</v>
      </c>
      <c r="DB10" s="60">
        <f t="shared" si="4"/>
        <v>0.11536518072442685</v>
      </c>
      <c r="DC10" s="60">
        <f t="shared" si="5"/>
        <v>0.15706051873198848</v>
      </c>
      <c r="DE10" s="20" t="s">
        <v>53</v>
      </c>
      <c r="DF10" s="8">
        <f>CB10*$EF10</f>
        <v>0.37164146410325855</v>
      </c>
      <c r="DG10" s="8">
        <f t="shared" ref="DG10:DP12" si="9">CC10*$EF10</f>
        <v>0.34411246676227641</v>
      </c>
      <c r="DH10" s="8">
        <f t="shared" si="9"/>
        <v>0.31658346942129434</v>
      </c>
      <c r="DI10" s="8">
        <f t="shared" si="9"/>
        <v>0.29286167384023526</v>
      </c>
      <c r="DJ10" s="8">
        <f t="shared" si="9"/>
        <v>0.25828869239163738</v>
      </c>
      <c r="DK10" s="8">
        <f t="shared" si="9"/>
        <v>0.23473262112139137</v>
      </c>
      <c r="DL10" s="8">
        <f t="shared" si="9"/>
        <v>0.21117437886335633</v>
      </c>
      <c r="DM10" s="8">
        <f t="shared" si="9"/>
        <v>0.1980976707224151</v>
      </c>
      <c r="DN10" s="8">
        <f t="shared" si="9"/>
        <v>0.19654684048238472</v>
      </c>
      <c r="DO10" s="8">
        <f t="shared" si="9"/>
        <v>0.1962473941566853</v>
      </c>
      <c r="DP10" s="8">
        <f t="shared" si="9"/>
        <v>0.16645677016459229</v>
      </c>
      <c r="DQ10" s="8">
        <f t="shared" ref="DQ10:DZ12" si="10">CM10*$EF10</f>
        <v>0.16095097069639586</v>
      </c>
      <c r="DR10" s="8">
        <f t="shared" si="10"/>
        <v>0.15544517122819942</v>
      </c>
      <c r="DS10" s="8">
        <f t="shared" si="10"/>
        <v>0.14993937176000299</v>
      </c>
      <c r="DT10" s="8">
        <f t="shared" si="10"/>
        <v>0.14443357229180656</v>
      </c>
      <c r="DU10" s="8">
        <f t="shared" si="10"/>
        <v>0.13892777282361013</v>
      </c>
      <c r="DV10" s="8">
        <f t="shared" si="10"/>
        <v>0.13342197335541373</v>
      </c>
      <c r="DW10" s="8">
        <f t="shared" si="10"/>
        <v>0.12791617388721729</v>
      </c>
      <c r="DX10" s="8">
        <f t="shared" si="10"/>
        <v>0.12241037441902086</v>
      </c>
      <c r="DY10" s="8">
        <f t="shared" si="10"/>
        <v>0.11690457495082443</v>
      </c>
      <c r="DZ10" s="8">
        <f t="shared" si="10"/>
        <v>0.111398775482628</v>
      </c>
      <c r="EA10" s="8">
        <f t="shared" ref="EA10:EC12" si="11">CW10*$EF10</f>
        <v>0.10589297601443158</v>
      </c>
      <c r="EB10" s="8">
        <f t="shared" si="11"/>
        <v>0.10038717654623515</v>
      </c>
      <c r="EC10" s="8">
        <f t="shared" si="11"/>
        <v>9.4881377078038717E-2</v>
      </c>
      <c r="ED10" s="7">
        <f t="shared" ref="ED10:ED23" si="12">SUMPRODUCT(DF10:EC10,Z34:AW34)/SUM(Z34:AW34)</f>
        <v>0.16874220858781536</v>
      </c>
      <c r="EE10" s="7">
        <f t="shared" ref="EE10:EE20" si="13">DC10</f>
        <v>0.15706051873198848</v>
      </c>
      <c r="EF10" s="6">
        <v>1.3764498670491057</v>
      </c>
    </row>
    <row r="11" spans="1:137">
      <c r="A11" s="20" t="s">
        <v>49</v>
      </c>
      <c r="B11">
        <v>111</v>
      </c>
      <c r="C11">
        <v>168</v>
      </c>
      <c r="D11">
        <v>238</v>
      </c>
      <c r="E11">
        <v>449</v>
      </c>
      <c r="F11">
        <v>949</v>
      </c>
      <c r="G11">
        <v>1938</v>
      </c>
      <c r="H11">
        <v>3180</v>
      </c>
      <c r="I11">
        <v>3811</v>
      </c>
      <c r="J11">
        <v>4446</v>
      </c>
      <c r="K11">
        <v>5057</v>
      </c>
      <c r="L11">
        <v>5587</v>
      </c>
      <c r="M11">
        <v>5722</v>
      </c>
      <c r="N11">
        <v>5632</v>
      </c>
      <c r="O11">
        <v>5225</v>
      </c>
      <c r="P11">
        <v>4666</v>
      </c>
      <c r="Q11">
        <v>3909</v>
      </c>
      <c r="R11">
        <v>2799</v>
      </c>
      <c r="S11">
        <v>1982</v>
      </c>
      <c r="T11">
        <v>1132</v>
      </c>
      <c r="U11">
        <v>605</v>
      </c>
      <c r="V11">
        <v>293</v>
      </c>
      <c r="W11">
        <v>147</v>
      </c>
      <c r="X11">
        <v>69</v>
      </c>
      <c r="Y11">
        <v>51</v>
      </c>
      <c r="Z11">
        <v>74</v>
      </c>
      <c r="AA11">
        <v>116</v>
      </c>
      <c r="AB11">
        <v>166</v>
      </c>
      <c r="AC11">
        <v>270</v>
      </c>
      <c r="AD11">
        <v>588</v>
      </c>
      <c r="AE11">
        <v>1093</v>
      </c>
      <c r="AF11">
        <v>1786</v>
      </c>
      <c r="AG11">
        <v>1909</v>
      </c>
      <c r="AH11">
        <v>2163</v>
      </c>
      <c r="AI11">
        <v>2301</v>
      </c>
      <c r="AJ11">
        <v>2491</v>
      </c>
      <c r="AK11">
        <v>2390</v>
      </c>
      <c r="AL11">
        <v>2256</v>
      </c>
      <c r="AM11">
        <v>2009</v>
      </c>
      <c r="AN11">
        <v>1810</v>
      </c>
      <c r="AO11">
        <v>1479</v>
      </c>
      <c r="AP11">
        <v>1007</v>
      </c>
      <c r="AQ11">
        <v>691</v>
      </c>
      <c r="AR11">
        <v>440</v>
      </c>
      <c r="AS11">
        <v>191</v>
      </c>
      <c r="AT11">
        <v>119</v>
      </c>
      <c r="AU11">
        <v>50</v>
      </c>
      <c r="AV11">
        <v>14</v>
      </c>
      <c r="AW11">
        <v>19</v>
      </c>
      <c r="AX11" s="8">
        <v>0.66666666666666663</v>
      </c>
      <c r="AY11" s="8">
        <v>0.69047619047619047</v>
      </c>
      <c r="AZ11" s="8">
        <v>0.69747899159663862</v>
      </c>
      <c r="BA11" s="8">
        <v>0.60133630289532292</v>
      </c>
      <c r="BB11" s="8">
        <v>0.61959957850368808</v>
      </c>
      <c r="BC11" s="8">
        <v>0.56398348813209498</v>
      </c>
      <c r="BD11" s="8">
        <v>0.56163522012578615</v>
      </c>
      <c r="BE11" s="8">
        <v>0.50091839412227757</v>
      </c>
      <c r="BF11" s="8">
        <v>0.48650472334682859</v>
      </c>
      <c r="BG11" s="8">
        <v>0.45501285347043702</v>
      </c>
      <c r="BH11" s="8">
        <v>0.44585645247896905</v>
      </c>
      <c r="BI11" s="8">
        <v>0.41768612373296049</v>
      </c>
      <c r="BJ11" s="8">
        <v>0.40056818181818182</v>
      </c>
      <c r="BK11" s="8">
        <v>0.38449760765550239</v>
      </c>
      <c r="BL11" s="8">
        <v>0.387912558936991</v>
      </c>
      <c r="BM11" s="8">
        <v>0.37835763622409824</v>
      </c>
      <c r="BN11" s="8">
        <v>0.3597713469096106</v>
      </c>
      <c r="BO11" s="8">
        <v>0.34863773965691219</v>
      </c>
      <c r="BP11" s="8">
        <v>0.38869257950530034</v>
      </c>
      <c r="BQ11" s="8">
        <v>0.31570247933884299</v>
      </c>
      <c r="BR11" s="8">
        <v>0.4061433447098976</v>
      </c>
      <c r="BS11" s="8">
        <v>0.3401360544217687</v>
      </c>
      <c r="BT11" s="8">
        <v>0.20289855072463769</v>
      </c>
      <c r="BU11" s="8">
        <v>0.37254901960784315</v>
      </c>
      <c r="BV11">
        <v>58166</v>
      </c>
      <c r="BW11">
        <v>25432</v>
      </c>
      <c r="BX11" s="8">
        <v>0.43723137227933845</v>
      </c>
      <c r="BZ11" t="s">
        <v>375</v>
      </c>
      <c r="CA11" s="20" t="s">
        <v>49</v>
      </c>
      <c r="CB11" s="8">
        <v>0.7</v>
      </c>
      <c r="CC11" s="8">
        <v>0.68</v>
      </c>
      <c r="CD11" s="8">
        <v>0.66</v>
      </c>
      <c r="CE11" s="8">
        <v>0.64</v>
      </c>
      <c r="CF11" s="8">
        <f>+BB11</f>
        <v>0.61959957850368808</v>
      </c>
      <c r="CG11" s="8">
        <v>0.57999999999999996</v>
      </c>
      <c r="CH11" s="8">
        <v>0.54</v>
      </c>
      <c r="CI11" s="8">
        <f t="shared" ref="CI11:CO12" si="14">+BE11</f>
        <v>0.50091839412227757</v>
      </c>
      <c r="CJ11" s="8">
        <f t="shared" si="14"/>
        <v>0.48650472334682859</v>
      </c>
      <c r="CK11" s="8">
        <f t="shared" si="14"/>
        <v>0.45501285347043702</v>
      </c>
      <c r="CL11" s="8">
        <f t="shared" si="14"/>
        <v>0.44585645247896905</v>
      </c>
      <c r="CM11" s="8">
        <f t="shared" si="14"/>
        <v>0.41768612373296049</v>
      </c>
      <c r="CN11" s="8">
        <f t="shared" si="14"/>
        <v>0.40056818181818182</v>
      </c>
      <c r="CO11" s="8">
        <f t="shared" si="14"/>
        <v>0.38449760765550239</v>
      </c>
      <c r="CP11" s="7">
        <f>+CO11-0.005</f>
        <v>0.37949760765550239</v>
      </c>
      <c r="CQ11" s="7">
        <f t="shared" ref="CQ11:CY11" si="15">+CP11-0.005</f>
        <v>0.37449760765550238</v>
      </c>
      <c r="CR11" s="7">
        <f t="shared" si="15"/>
        <v>0.36949760765550238</v>
      </c>
      <c r="CS11" s="7">
        <f t="shared" si="15"/>
        <v>0.36449760765550238</v>
      </c>
      <c r="CT11" s="7">
        <f t="shared" si="15"/>
        <v>0.35949760765550237</v>
      </c>
      <c r="CU11" s="7">
        <f t="shared" si="15"/>
        <v>0.35449760765550237</v>
      </c>
      <c r="CV11" s="7">
        <f t="shared" si="15"/>
        <v>0.34949760765550236</v>
      </c>
      <c r="CW11" s="7">
        <f t="shared" si="15"/>
        <v>0.34449760765550236</v>
      </c>
      <c r="CX11" s="7">
        <f t="shared" si="15"/>
        <v>0.33949760765550235</v>
      </c>
      <c r="CY11" s="7">
        <f t="shared" si="15"/>
        <v>0.33449760765550235</v>
      </c>
      <c r="CZ11" s="7">
        <f>SUMPRODUCT(CB11:CY11,B11:Y11)/SUM(B11:Y11)</f>
        <v>0.43652436221558261</v>
      </c>
      <c r="DA11" s="7">
        <f>BX11</f>
        <v>0.43723137227933845</v>
      </c>
      <c r="DB11" s="60">
        <f t="shared" si="4"/>
        <v>0.41765251491919497</v>
      </c>
      <c r="DC11" s="60">
        <f t="shared" si="5"/>
        <v>0.36041009463722395</v>
      </c>
      <c r="DE11" s="20" t="s">
        <v>49</v>
      </c>
      <c r="DF11" s="8">
        <f>CB11*$EF11</f>
        <v>0.58994080435209173</v>
      </c>
      <c r="DG11" s="8">
        <f t="shared" si="9"/>
        <v>0.57308535279917494</v>
      </c>
      <c r="DH11" s="8">
        <f t="shared" si="9"/>
        <v>0.55622990124625804</v>
      </c>
      <c r="DI11" s="8">
        <f t="shared" si="9"/>
        <v>0.53937444969334114</v>
      </c>
      <c r="DJ11" s="8">
        <f t="shared" si="9"/>
        <v>0.52218153388383259</v>
      </c>
      <c r="DK11" s="8">
        <f t="shared" si="9"/>
        <v>0.48880809503459033</v>
      </c>
      <c r="DL11" s="8">
        <f t="shared" si="9"/>
        <v>0.45509719192875658</v>
      </c>
      <c r="DM11" s="8">
        <f t="shared" si="9"/>
        <v>0.4221602862046494</v>
      </c>
      <c r="DN11" s="8">
        <f t="shared" si="9"/>
        <v>0.41001283973188568</v>
      </c>
      <c r="DO11" s="8">
        <f t="shared" si="9"/>
        <v>0.38347235538127156</v>
      </c>
      <c r="DP11" s="8">
        <f t="shared" si="9"/>
        <v>0.37575559171573314</v>
      </c>
      <c r="DQ11" s="8">
        <f t="shared" si="10"/>
        <v>0.35201441114532867</v>
      </c>
      <c r="DR11" s="8">
        <f t="shared" si="10"/>
        <v>0.33758787911381877</v>
      </c>
      <c r="DS11" s="8">
        <f t="shared" si="10"/>
        <v>0.3240440399024887</v>
      </c>
      <c r="DT11" s="8">
        <f t="shared" si="10"/>
        <v>0.31983017701425948</v>
      </c>
      <c r="DU11" s="8">
        <f t="shared" si="10"/>
        <v>0.31561631412603025</v>
      </c>
      <c r="DV11" s="8">
        <f t="shared" si="10"/>
        <v>0.31140245123780103</v>
      </c>
      <c r="DW11" s="8">
        <f t="shared" si="10"/>
        <v>0.3071885883495718</v>
      </c>
      <c r="DX11" s="8">
        <f t="shared" si="10"/>
        <v>0.30297472546134258</v>
      </c>
      <c r="DY11" s="8">
        <f t="shared" si="10"/>
        <v>0.29876086257311335</v>
      </c>
      <c r="DZ11" s="8">
        <f t="shared" si="10"/>
        <v>0.29454699968488407</v>
      </c>
      <c r="EA11" s="8">
        <f t="shared" si="11"/>
        <v>0.29033313679665484</v>
      </c>
      <c r="EB11" s="8">
        <f t="shared" si="11"/>
        <v>0.28611927390842562</v>
      </c>
      <c r="EC11" s="8">
        <f t="shared" si="11"/>
        <v>0.28190541102019639</v>
      </c>
      <c r="ED11" s="7">
        <f t="shared" si="12"/>
        <v>0.35724290286720178</v>
      </c>
      <c r="EE11" s="7">
        <f t="shared" si="13"/>
        <v>0.36041009463722395</v>
      </c>
      <c r="EF11" s="6">
        <v>0.84277257764584546</v>
      </c>
    </row>
    <row r="12" spans="1:137">
      <c r="A12" s="20" t="s">
        <v>48</v>
      </c>
      <c r="B12">
        <v>120</v>
      </c>
      <c r="C12">
        <v>171</v>
      </c>
      <c r="D12">
        <v>261</v>
      </c>
      <c r="E12">
        <v>456</v>
      </c>
      <c r="F12">
        <v>934</v>
      </c>
      <c r="G12">
        <v>2121</v>
      </c>
      <c r="H12">
        <v>3359</v>
      </c>
      <c r="I12">
        <v>4060</v>
      </c>
      <c r="J12">
        <v>4696</v>
      </c>
      <c r="K12">
        <v>5674</v>
      </c>
      <c r="L12">
        <v>5939</v>
      </c>
      <c r="M12">
        <v>6176</v>
      </c>
      <c r="N12">
        <v>6128</v>
      </c>
      <c r="O12">
        <v>5620</v>
      </c>
      <c r="P12">
        <v>4927</v>
      </c>
      <c r="Q12">
        <v>4128</v>
      </c>
      <c r="R12">
        <v>3106</v>
      </c>
      <c r="S12">
        <v>2098</v>
      </c>
      <c r="T12">
        <v>1272</v>
      </c>
      <c r="U12">
        <v>660</v>
      </c>
      <c r="V12">
        <v>338</v>
      </c>
      <c r="W12">
        <v>166</v>
      </c>
      <c r="X12">
        <v>74</v>
      </c>
      <c r="Y12">
        <v>57</v>
      </c>
      <c r="Z12">
        <v>71</v>
      </c>
      <c r="AA12">
        <v>103</v>
      </c>
      <c r="AB12">
        <v>155</v>
      </c>
      <c r="AC12">
        <v>246</v>
      </c>
      <c r="AD12">
        <v>523</v>
      </c>
      <c r="AE12">
        <v>1100</v>
      </c>
      <c r="AF12">
        <v>1708</v>
      </c>
      <c r="AG12">
        <v>1850</v>
      </c>
      <c r="AH12">
        <v>2064</v>
      </c>
      <c r="AI12">
        <v>2377</v>
      </c>
      <c r="AJ12">
        <v>2341</v>
      </c>
      <c r="AK12">
        <v>2283</v>
      </c>
      <c r="AL12">
        <v>2247</v>
      </c>
      <c r="AM12">
        <v>1940</v>
      </c>
      <c r="AN12">
        <v>1689</v>
      </c>
      <c r="AO12">
        <v>1351</v>
      </c>
      <c r="AP12">
        <v>932</v>
      </c>
      <c r="AQ12">
        <v>627</v>
      </c>
      <c r="AR12">
        <v>370</v>
      </c>
      <c r="AS12">
        <v>179</v>
      </c>
      <c r="AT12">
        <v>91</v>
      </c>
      <c r="AU12">
        <v>43</v>
      </c>
      <c r="AV12">
        <v>22</v>
      </c>
      <c r="AW12">
        <v>18</v>
      </c>
      <c r="AX12" s="8">
        <v>0.59166666666666667</v>
      </c>
      <c r="AY12" s="8">
        <v>0.60233918128654973</v>
      </c>
      <c r="AZ12" s="8">
        <v>0.5938697318007663</v>
      </c>
      <c r="BA12" s="8">
        <v>0.53947368421052633</v>
      </c>
      <c r="BB12" s="8">
        <v>0.55995717344753748</v>
      </c>
      <c r="BC12" s="8">
        <v>0.51862329090051862</v>
      </c>
      <c r="BD12" s="8">
        <v>0.50848466805596904</v>
      </c>
      <c r="BE12" s="8">
        <v>0.45566502463054187</v>
      </c>
      <c r="BF12" s="8">
        <v>0.4395229982964225</v>
      </c>
      <c r="BG12" s="8">
        <v>0.41892844554106451</v>
      </c>
      <c r="BH12" s="8">
        <v>0.39417410338440817</v>
      </c>
      <c r="BI12" s="8">
        <v>0.36965673575129532</v>
      </c>
      <c r="BJ12" s="8">
        <v>0.36667754569190603</v>
      </c>
      <c r="BK12" s="8">
        <v>0.34519572953736655</v>
      </c>
      <c r="BL12" s="8">
        <v>0.34280495230363306</v>
      </c>
      <c r="BM12" s="8">
        <v>0.32727713178294576</v>
      </c>
      <c r="BN12" s="8">
        <v>0.30006439150032194</v>
      </c>
      <c r="BO12" s="8">
        <v>0.29885605338417542</v>
      </c>
      <c r="BP12" s="8">
        <v>0.29088050314465408</v>
      </c>
      <c r="BQ12" s="8">
        <v>0.27121212121212124</v>
      </c>
      <c r="BR12" s="8">
        <v>0.26923076923076922</v>
      </c>
      <c r="BS12" s="8">
        <v>0.25903614457831325</v>
      </c>
      <c r="BT12" s="8">
        <v>0.29729729729729731</v>
      </c>
      <c r="BU12" s="8">
        <v>0.31578947368421051</v>
      </c>
      <c r="BV12">
        <v>62541</v>
      </c>
      <c r="BW12">
        <v>24330</v>
      </c>
      <c r="BX12" s="8">
        <v>0.38902479973137621</v>
      </c>
      <c r="BZ12" t="s">
        <v>376</v>
      </c>
      <c r="CA12" s="20" t="s">
        <v>48</v>
      </c>
      <c r="CB12" s="8">
        <v>0.6</v>
      </c>
      <c r="CC12" s="8">
        <v>0.59</v>
      </c>
      <c r="CD12" s="8">
        <v>0.57999999999999996</v>
      </c>
      <c r="CE12" s="8">
        <v>0.56999999999999995</v>
      </c>
      <c r="CF12" s="8">
        <v>0.55000000000000004</v>
      </c>
      <c r="CG12" s="8">
        <v>0.53</v>
      </c>
      <c r="CH12" s="8">
        <f>+BD12</f>
        <v>0.50848466805596904</v>
      </c>
      <c r="CI12" s="8">
        <f t="shared" si="14"/>
        <v>0.45566502463054187</v>
      </c>
      <c r="CJ12" s="8">
        <f t="shared" si="14"/>
        <v>0.4395229982964225</v>
      </c>
      <c r="CK12" s="8">
        <f t="shared" si="14"/>
        <v>0.41892844554106451</v>
      </c>
      <c r="CL12" s="8">
        <f t="shared" si="14"/>
        <v>0.39417410338440817</v>
      </c>
      <c r="CM12" s="8">
        <f t="shared" si="14"/>
        <v>0.36965673575129532</v>
      </c>
      <c r="CN12" s="8">
        <f t="shared" si="14"/>
        <v>0.36667754569190603</v>
      </c>
      <c r="CO12" s="8">
        <f t="shared" si="14"/>
        <v>0.34519572953736655</v>
      </c>
      <c r="CP12" s="8">
        <f>+BL12</f>
        <v>0.34280495230363306</v>
      </c>
      <c r="CQ12" s="8">
        <f>+BM12</f>
        <v>0.32727713178294576</v>
      </c>
      <c r="CR12" s="8">
        <f>+BN12</f>
        <v>0.30006439150032194</v>
      </c>
      <c r="CS12" s="8">
        <f>+BO12</f>
        <v>0.29885605338417542</v>
      </c>
      <c r="CT12" s="7">
        <f>+BP12</f>
        <v>0.29088050314465408</v>
      </c>
      <c r="CU12" s="7">
        <v>0.28000000000000003</v>
      </c>
      <c r="CV12" s="7">
        <f>+BR12</f>
        <v>0.26923076923076922</v>
      </c>
      <c r="CW12" s="7">
        <f>+BS12</f>
        <v>0.25903614457831325</v>
      </c>
      <c r="CX12" s="8">
        <v>0.24</v>
      </c>
      <c r="CY12" s="8">
        <v>0.23</v>
      </c>
      <c r="CZ12" s="7">
        <f>SUMPRODUCT(CB12:CY12,B12:Y12)/SUM(B12:Y12)</f>
        <v>0.38935562271150126</v>
      </c>
      <c r="DA12" s="7">
        <f>BX12</f>
        <v>0.38902479973137621</v>
      </c>
      <c r="DB12" s="60">
        <f t="shared" si="4"/>
        <v>0.36873785687555227</v>
      </c>
      <c r="DC12" s="60">
        <f t="shared" si="5"/>
        <v>0.57046476761619191</v>
      </c>
      <c r="DE12" s="20" t="s">
        <v>48</v>
      </c>
      <c r="DF12" s="8">
        <f>CB12*$EF12</f>
        <v>0.93856657210717309</v>
      </c>
      <c r="DG12" s="8">
        <f t="shared" si="9"/>
        <v>0.92292379590538687</v>
      </c>
      <c r="DH12" s="8">
        <f t="shared" si="9"/>
        <v>0.90728101970360064</v>
      </c>
      <c r="DI12" s="8">
        <f t="shared" si="9"/>
        <v>0.89163824350181442</v>
      </c>
      <c r="DJ12" s="8">
        <f t="shared" si="9"/>
        <v>0.86035269109824208</v>
      </c>
      <c r="DK12" s="8">
        <f t="shared" si="9"/>
        <v>0.82906713869466964</v>
      </c>
      <c r="DL12" s="8">
        <f t="shared" si="9"/>
        <v>0.79541118644390774</v>
      </c>
      <c r="DM12" s="8">
        <f t="shared" si="9"/>
        <v>0.71278660032769714</v>
      </c>
      <c r="DN12" s="8">
        <f t="shared" si="9"/>
        <v>0.68753598978890029</v>
      </c>
      <c r="DO12" s="8">
        <f t="shared" si="9"/>
        <v>0.6553203918161058</v>
      </c>
      <c r="DP12" s="8">
        <f t="shared" si="9"/>
        <v>0.61659772837820415</v>
      </c>
      <c r="DQ12" s="8">
        <f t="shared" si="10"/>
        <v>0.57824575888403396</v>
      </c>
      <c r="DR12" s="8">
        <f t="shared" si="10"/>
        <v>0.57358547854787267</v>
      </c>
      <c r="DS12" s="8">
        <f t="shared" si="10"/>
        <v>0.53998195429653495</v>
      </c>
      <c r="DT12" s="8">
        <f t="shared" si="10"/>
        <v>0.53624211497497309</v>
      </c>
      <c r="DU12" s="8">
        <f t="shared" si="10"/>
        <v>0.51195229284431165</v>
      </c>
      <c r="DV12" s="8">
        <f t="shared" si="10"/>
        <v>0.46938401223646992</v>
      </c>
      <c r="DW12" s="8">
        <f t="shared" si="10"/>
        <v>0.46749383596377314</v>
      </c>
      <c r="DX12" s="8">
        <f t="shared" si="10"/>
        <v>0.45501786121547966</v>
      </c>
      <c r="DY12" s="8">
        <f t="shared" si="10"/>
        <v>0.43799773365001421</v>
      </c>
      <c r="DZ12" s="8">
        <f t="shared" si="10"/>
        <v>0.4211516669711674</v>
      </c>
      <c r="EA12" s="8">
        <f t="shared" si="11"/>
        <v>0.40520444378120929</v>
      </c>
      <c r="EB12" s="8">
        <f t="shared" si="11"/>
        <v>0.37542662884286926</v>
      </c>
      <c r="EC12" s="8">
        <f t="shared" si="11"/>
        <v>0.35978385264108304</v>
      </c>
      <c r="ED12" s="7">
        <f t="shared" si="12"/>
        <v>0.58708682686014779</v>
      </c>
      <c r="EE12" s="7">
        <f t="shared" si="13"/>
        <v>0.57046476761619191</v>
      </c>
      <c r="EF12" s="6">
        <v>1.5642776201786219</v>
      </c>
    </row>
    <row r="13" spans="1:137">
      <c r="A13" s="20" t="s">
        <v>63</v>
      </c>
      <c r="B13">
        <v>16</v>
      </c>
      <c r="C13">
        <v>26</v>
      </c>
      <c r="D13">
        <v>49</v>
      </c>
      <c r="E13">
        <v>95</v>
      </c>
      <c r="F13">
        <v>153</v>
      </c>
      <c r="G13">
        <v>348</v>
      </c>
      <c r="H13">
        <v>539</v>
      </c>
      <c r="I13">
        <v>626</v>
      </c>
      <c r="J13">
        <v>698</v>
      </c>
      <c r="K13">
        <v>847</v>
      </c>
      <c r="L13">
        <v>917</v>
      </c>
      <c r="M13">
        <v>1017</v>
      </c>
      <c r="N13">
        <v>1094</v>
      </c>
      <c r="O13">
        <v>1056</v>
      </c>
      <c r="P13">
        <v>1001</v>
      </c>
      <c r="Q13">
        <v>900</v>
      </c>
      <c r="R13">
        <v>770</v>
      </c>
      <c r="S13">
        <v>555</v>
      </c>
      <c r="T13">
        <v>382</v>
      </c>
      <c r="U13">
        <v>228</v>
      </c>
      <c r="V13">
        <v>116</v>
      </c>
      <c r="W13">
        <v>70</v>
      </c>
      <c r="X13">
        <v>26</v>
      </c>
      <c r="Y13">
        <v>19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>
        <v>11548</v>
      </c>
      <c r="BW13">
        <v>0</v>
      </c>
      <c r="BX13" s="8">
        <v>0</v>
      </c>
      <c r="CA13" s="20" t="s">
        <v>63</v>
      </c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7"/>
      <c r="CU13" s="7"/>
      <c r="CV13" s="7"/>
      <c r="CW13" s="7"/>
      <c r="CX13" s="8"/>
      <c r="CY13" s="8"/>
      <c r="CZ13" s="7"/>
      <c r="DA13" s="7"/>
      <c r="DB13" s="60">
        <f t="shared" si="4"/>
        <v>0</v>
      </c>
      <c r="DC13" s="60">
        <f t="shared" si="5"/>
        <v>0</v>
      </c>
      <c r="DE13" s="20" t="s">
        <v>63</v>
      </c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7"/>
      <c r="DY13" s="7"/>
      <c r="DZ13" s="7"/>
      <c r="EA13" s="7"/>
      <c r="EB13" s="8"/>
      <c r="EC13" s="8"/>
      <c r="ED13" s="7" t="e">
        <f t="shared" si="12"/>
        <v>#DIV/0!</v>
      </c>
      <c r="EE13" s="7">
        <f t="shared" si="13"/>
        <v>0</v>
      </c>
      <c r="EF13" s="6" t="e">
        <v>#DIV/0!</v>
      </c>
    </row>
    <row r="14" spans="1:137">
      <c r="A14" s="20" t="s">
        <v>51</v>
      </c>
      <c r="B14">
        <v>78</v>
      </c>
      <c r="C14">
        <v>108</v>
      </c>
      <c r="D14">
        <v>182</v>
      </c>
      <c r="E14">
        <v>268</v>
      </c>
      <c r="F14">
        <v>563</v>
      </c>
      <c r="G14">
        <v>1110</v>
      </c>
      <c r="H14">
        <v>1850</v>
      </c>
      <c r="I14">
        <v>2143</v>
      </c>
      <c r="J14">
        <v>2456</v>
      </c>
      <c r="K14">
        <v>2941</v>
      </c>
      <c r="L14">
        <v>3222</v>
      </c>
      <c r="M14">
        <v>3581</v>
      </c>
      <c r="N14">
        <v>3649</v>
      </c>
      <c r="O14">
        <v>3548</v>
      </c>
      <c r="P14">
        <v>3254</v>
      </c>
      <c r="Q14">
        <v>2878</v>
      </c>
      <c r="R14">
        <v>2251</v>
      </c>
      <c r="S14">
        <v>1672</v>
      </c>
      <c r="T14">
        <v>995</v>
      </c>
      <c r="U14">
        <v>543</v>
      </c>
      <c r="V14">
        <v>274</v>
      </c>
      <c r="W14">
        <v>146</v>
      </c>
      <c r="X14">
        <v>79</v>
      </c>
      <c r="Y14">
        <v>41</v>
      </c>
      <c r="Z14">
        <v>40</v>
      </c>
      <c r="AA14">
        <v>39</v>
      </c>
      <c r="AB14">
        <v>67</v>
      </c>
      <c r="AC14">
        <v>106</v>
      </c>
      <c r="AD14">
        <v>198</v>
      </c>
      <c r="AE14">
        <v>448</v>
      </c>
      <c r="AF14">
        <v>684</v>
      </c>
      <c r="AG14">
        <v>737</v>
      </c>
      <c r="AH14">
        <v>817</v>
      </c>
      <c r="AI14">
        <v>905</v>
      </c>
      <c r="AJ14">
        <v>957</v>
      </c>
      <c r="AK14">
        <v>1013</v>
      </c>
      <c r="AL14">
        <v>1003</v>
      </c>
      <c r="AM14">
        <v>988</v>
      </c>
      <c r="AN14">
        <v>880</v>
      </c>
      <c r="AO14">
        <v>743</v>
      </c>
      <c r="AP14">
        <v>565</v>
      </c>
      <c r="AQ14">
        <v>400</v>
      </c>
      <c r="AR14">
        <v>238</v>
      </c>
      <c r="AS14">
        <v>97</v>
      </c>
      <c r="AT14">
        <v>62</v>
      </c>
      <c r="AU14">
        <v>33</v>
      </c>
      <c r="AV14">
        <v>15</v>
      </c>
      <c r="AW14">
        <v>7</v>
      </c>
      <c r="AX14" s="8">
        <v>0.51282051282051277</v>
      </c>
      <c r="AY14" s="8">
        <v>0.3611111111111111</v>
      </c>
      <c r="AZ14" s="8">
        <v>0.36813186813186816</v>
      </c>
      <c r="BA14" s="8">
        <v>0.39552238805970147</v>
      </c>
      <c r="BB14" s="8">
        <v>0.35168738898756663</v>
      </c>
      <c r="BC14" s="8">
        <v>0.40360360360360359</v>
      </c>
      <c r="BD14" s="8">
        <v>0.36972972972972973</v>
      </c>
      <c r="BE14" s="8">
        <v>0.34391040597293515</v>
      </c>
      <c r="BF14" s="8">
        <v>0.33265472312703581</v>
      </c>
      <c r="BG14" s="8">
        <v>0.30771846310778644</v>
      </c>
      <c r="BH14" s="8">
        <v>0.29702048417132215</v>
      </c>
      <c r="BI14" s="8">
        <v>0.28288187657079028</v>
      </c>
      <c r="BJ14" s="8">
        <v>0.27486982734995891</v>
      </c>
      <c r="BK14" s="8">
        <v>0.27846674182638104</v>
      </c>
      <c r="BL14" s="8">
        <v>0.27043638598647818</v>
      </c>
      <c r="BM14" s="8">
        <v>0.25816539263377347</v>
      </c>
      <c r="BN14" s="8">
        <v>0.25099955575299865</v>
      </c>
      <c r="BO14" s="8">
        <v>0.23923444976076555</v>
      </c>
      <c r="BP14" s="8">
        <v>0.23919597989949748</v>
      </c>
      <c r="BQ14" s="8">
        <v>0.17863720073664824</v>
      </c>
      <c r="BR14" s="8">
        <v>0.22627737226277372</v>
      </c>
      <c r="BS14" s="8">
        <v>0.22602739726027396</v>
      </c>
      <c r="BT14" s="8">
        <v>0.189873417721519</v>
      </c>
      <c r="BU14" s="8">
        <v>0.17073170731707318</v>
      </c>
      <c r="BV14">
        <v>37832</v>
      </c>
      <c r="BW14">
        <v>11042</v>
      </c>
      <c r="BX14" s="8">
        <v>0.29186931698033408</v>
      </c>
      <c r="BZ14" t="s">
        <v>377</v>
      </c>
      <c r="CA14" s="20" t="s">
        <v>51</v>
      </c>
      <c r="CB14" s="8">
        <v>0.41</v>
      </c>
      <c r="CC14" s="8">
        <v>0.4</v>
      </c>
      <c r="CD14" s="8">
        <v>0.39</v>
      </c>
      <c r="CE14" s="8">
        <v>0.38</v>
      </c>
      <c r="CF14" s="8">
        <v>0.37</v>
      </c>
      <c r="CG14" s="8">
        <v>0.36</v>
      </c>
      <c r="CH14" s="8">
        <v>0.35</v>
      </c>
      <c r="CI14" s="8">
        <f t="shared" ref="CI14:CN14" si="16">+BE14</f>
        <v>0.34391040597293515</v>
      </c>
      <c r="CJ14" s="8">
        <f t="shared" si="16"/>
        <v>0.33265472312703581</v>
      </c>
      <c r="CK14" s="8">
        <f t="shared" si="16"/>
        <v>0.30771846310778644</v>
      </c>
      <c r="CL14" s="8">
        <f t="shared" si="16"/>
        <v>0.29702048417132215</v>
      </c>
      <c r="CM14" s="8">
        <f t="shared" si="16"/>
        <v>0.28288187657079028</v>
      </c>
      <c r="CN14" s="7">
        <f t="shared" si="16"/>
        <v>0.27486982734995891</v>
      </c>
      <c r="CO14" s="7">
        <f>CN14-0.5%</f>
        <v>0.2698698273499589</v>
      </c>
      <c r="CP14" s="7">
        <f t="shared" ref="CP14:CY14" si="17">CO14-0.5%</f>
        <v>0.2648698273499589</v>
      </c>
      <c r="CQ14" s="7">
        <f t="shared" si="17"/>
        <v>0.25986982734995889</v>
      </c>
      <c r="CR14" s="7">
        <f t="shared" si="17"/>
        <v>0.25486982734995889</v>
      </c>
      <c r="CS14" s="7">
        <f t="shared" si="17"/>
        <v>0.24986982734995888</v>
      </c>
      <c r="CT14" s="7">
        <f t="shared" si="17"/>
        <v>0.24486982734995888</v>
      </c>
      <c r="CU14" s="7">
        <f t="shared" si="17"/>
        <v>0.23986982734995888</v>
      </c>
      <c r="CV14" s="7">
        <f t="shared" si="17"/>
        <v>0.23486982734995887</v>
      </c>
      <c r="CW14" s="7">
        <f t="shared" si="17"/>
        <v>0.22986982734995887</v>
      </c>
      <c r="CX14" s="7">
        <f t="shared" si="17"/>
        <v>0.22486982734995886</v>
      </c>
      <c r="CY14" s="7">
        <f t="shared" si="17"/>
        <v>0.21986982734995886</v>
      </c>
      <c r="CZ14" s="7">
        <f>SUMPRODUCT(CB14:CY14,B14:Y14)/SUM(B14:Y14)</f>
        <v>0.29056840142405116</v>
      </c>
      <c r="DA14" s="7">
        <f>BX14</f>
        <v>0.29186931698033408</v>
      </c>
      <c r="DB14" s="60">
        <f t="shared" si="4"/>
        <v>0.28188282736090858</v>
      </c>
      <c r="DC14" s="60">
        <f t="shared" si="5"/>
        <v>0.39184397163120566</v>
      </c>
      <c r="DE14" s="20" t="s">
        <v>51</v>
      </c>
      <c r="DF14" s="8">
        <f t="shared" ref="DF14:EC14" si="18">CB14*$EF14</f>
        <v>0.5668142925147065</v>
      </c>
      <c r="DG14" s="8">
        <f t="shared" si="18"/>
        <v>0.55298955367288449</v>
      </c>
      <c r="DH14" s="8">
        <f t="shared" si="18"/>
        <v>0.53916481483106238</v>
      </c>
      <c r="DI14" s="8">
        <f t="shared" si="18"/>
        <v>0.52534007598924026</v>
      </c>
      <c r="DJ14" s="8">
        <f t="shared" si="18"/>
        <v>0.51151533714741804</v>
      </c>
      <c r="DK14" s="8">
        <f t="shared" si="18"/>
        <v>0.49769059830559598</v>
      </c>
      <c r="DL14" s="8">
        <f t="shared" si="18"/>
        <v>0.48386585946377386</v>
      </c>
      <c r="DM14" s="8">
        <f t="shared" si="18"/>
        <v>0.47544715475608473</v>
      </c>
      <c r="DN14" s="8">
        <f t="shared" si="18"/>
        <v>0.4598864671729912</v>
      </c>
      <c r="DO14" s="8">
        <f t="shared" si="18"/>
        <v>0.42541273892720194</v>
      </c>
      <c r="DP14" s="8">
        <f t="shared" si="18"/>
        <v>0.4106230624340087</v>
      </c>
      <c r="DQ14" s="8">
        <f t="shared" si="18"/>
        <v>0.39107680666757327</v>
      </c>
      <c r="DR14" s="8">
        <f t="shared" si="18"/>
        <v>0.38000035786099146</v>
      </c>
      <c r="DS14" s="8">
        <f t="shared" si="18"/>
        <v>0.3730879884400804</v>
      </c>
      <c r="DT14" s="8">
        <f t="shared" si="18"/>
        <v>0.36617561901916934</v>
      </c>
      <c r="DU14" s="8">
        <f t="shared" si="18"/>
        <v>0.35926324959825828</v>
      </c>
      <c r="DV14" s="8">
        <f t="shared" si="18"/>
        <v>0.35235088017734717</v>
      </c>
      <c r="DW14" s="8">
        <f t="shared" si="18"/>
        <v>0.34543851075643611</v>
      </c>
      <c r="DX14" s="8">
        <f t="shared" si="18"/>
        <v>0.33852614133552505</v>
      </c>
      <c r="DY14" s="8">
        <f t="shared" si="18"/>
        <v>0.331613771914614</v>
      </c>
      <c r="DZ14" s="8">
        <f t="shared" si="18"/>
        <v>0.32470140249370294</v>
      </c>
      <c r="EA14" s="8">
        <f t="shared" si="18"/>
        <v>0.31778903307279188</v>
      </c>
      <c r="EB14" s="8">
        <f t="shared" si="18"/>
        <v>0.31087666365188082</v>
      </c>
      <c r="EC14" s="8">
        <f t="shared" si="18"/>
        <v>0.30396429423096977</v>
      </c>
      <c r="ED14" s="7">
        <f t="shared" si="12"/>
        <v>0.39810321780698005</v>
      </c>
      <c r="EE14" s="7">
        <f t="shared" si="13"/>
        <v>0.39184397163120566</v>
      </c>
      <c r="EF14" s="6">
        <v>1.3824738841822111</v>
      </c>
    </row>
    <row r="15" spans="1:137">
      <c r="A15" s="20" t="s">
        <v>58</v>
      </c>
      <c r="B15">
        <v>2</v>
      </c>
      <c r="C15">
        <v>8</v>
      </c>
      <c r="D15">
        <v>7</v>
      </c>
      <c r="E15">
        <v>12</v>
      </c>
      <c r="F15">
        <v>27</v>
      </c>
      <c r="G15">
        <v>46</v>
      </c>
      <c r="H15">
        <v>58</v>
      </c>
      <c r="I15">
        <v>62</v>
      </c>
      <c r="J15">
        <v>90</v>
      </c>
      <c r="K15">
        <v>91</v>
      </c>
      <c r="L15">
        <v>88</v>
      </c>
      <c r="M15">
        <v>74</v>
      </c>
      <c r="N15">
        <v>63</v>
      </c>
      <c r="O15">
        <v>72</v>
      </c>
      <c r="P15">
        <v>73</v>
      </c>
      <c r="Q15">
        <v>41</v>
      </c>
      <c r="R15">
        <v>28</v>
      </c>
      <c r="S15">
        <v>16</v>
      </c>
      <c r="T15">
        <v>5</v>
      </c>
      <c r="U15">
        <v>4</v>
      </c>
      <c r="V15">
        <v>5</v>
      </c>
      <c r="Z15">
        <v>1</v>
      </c>
      <c r="AA15">
        <v>1</v>
      </c>
      <c r="AB15">
        <v>3</v>
      </c>
      <c r="AC15">
        <v>4</v>
      </c>
      <c r="AD15">
        <v>11</v>
      </c>
      <c r="AE15">
        <v>23</v>
      </c>
      <c r="AF15">
        <v>25</v>
      </c>
      <c r="AG15">
        <v>31</v>
      </c>
      <c r="AH15">
        <v>44</v>
      </c>
      <c r="AI15">
        <v>42</v>
      </c>
      <c r="AJ15">
        <v>33</v>
      </c>
      <c r="AK15">
        <v>39</v>
      </c>
      <c r="AL15">
        <v>29</v>
      </c>
      <c r="AM15">
        <v>22</v>
      </c>
      <c r="AN15">
        <v>33</v>
      </c>
      <c r="AO15">
        <v>16</v>
      </c>
      <c r="AP15">
        <v>11</v>
      </c>
      <c r="AQ15">
        <v>7</v>
      </c>
      <c r="AR15">
        <v>3</v>
      </c>
      <c r="AS15">
        <v>0</v>
      </c>
      <c r="AT15">
        <v>2</v>
      </c>
      <c r="AX15" s="8">
        <v>0.5</v>
      </c>
      <c r="AY15" s="8">
        <v>0.125</v>
      </c>
      <c r="AZ15" s="8">
        <v>0.42857142857142855</v>
      </c>
      <c r="BA15" s="8">
        <v>0.33333333333333331</v>
      </c>
      <c r="BB15" s="8">
        <v>0.40740740740740738</v>
      </c>
      <c r="BC15" s="8">
        <v>0.5</v>
      </c>
      <c r="BD15" s="8">
        <v>0.43103448275862066</v>
      </c>
      <c r="BE15" s="8">
        <v>0.5</v>
      </c>
      <c r="BF15" s="8">
        <v>0.48888888888888887</v>
      </c>
      <c r="BG15" s="8">
        <v>0.46153846153846156</v>
      </c>
      <c r="BH15" s="8">
        <v>0.375</v>
      </c>
      <c r="BI15" s="8">
        <v>0.52702702702702697</v>
      </c>
      <c r="BJ15" s="8">
        <v>0.46031746031746029</v>
      </c>
      <c r="BK15" s="8">
        <v>0.30555555555555558</v>
      </c>
      <c r="BL15" s="8">
        <v>0.45205479452054792</v>
      </c>
      <c r="BM15" s="8">
        <v>0.3902439024390244</v>
      </c>
      <c r="BN15" s="8">
        <v>0.39285714285714285</v>
      </c>
      <c r="BO15" s="8">
        <v>0.4375</v>
      </c>
      <c r="BP15" s="8">
        <v>0.6</v>
      </c>
      <c r="BQ15" s="8">
        <v>0</v>
      </c>
      <c r="BR15" s="8">
        <v>0.4</v>
      </c>
      <c r="BS15" s="8" t="e">
        <v>#DIV/0!</v>
      </c>
      <c r="BT15" s="8" t="e">
        <v>#DIV/0!</v>
      </c>
      <c r="BU15" s="8" t="e">
        <v>#DIV/0!</v>
      </c>
      <c r="BV15">
        <v>872</v>
      </c>
      <c r="BW15">
        <v>380</v>
      </c>
      <c r="BX15" s="8">
        <v>0.43577981651376146</v>
      </c>
      <c r="BZ15" s="248"/>
      <c r="CA15" s="20" t="s">
        <v>58</v>
      </c>
      <c r="CB15" s="61">
        <f>$BX15*CB$32</f>
        <v>0.700659667512192</v>
      </c>
      <c r="CC15" s="61">
        <f t="shared" ref="CC15:CY15" si="19">$BX15*CC$32</f>
        <v>0.67792811702030598</v>
      </c>
      <c r="CD15" s="61">
        <f t="shared" si="19"/>
        <v>0.65600793916454658</v>
      </c>
      <c r="CE15" s="61">
        <f t="shared" si="19"/>
        <v>0.62848212851416574</v>
      </c>
      <c r="CF15" s="61">
        <f t="shared" si="19"/>
        <v>0.59670520505286118</v>
      </c>
      <c r="CG15" s="61">
        <f t="shared" si="19"/>
        <v>0.57054649322972872</v>
      </c>
      <c r="CH15" s="61">
        <f t="shared" si="19"/>
        <v>0.54318279942680514</v>
      </c>
      <c r="CI15" s="61">
        <f t="shared" si="19"/>
        <v>0.51230229281585726</v>
      </c>
      <c r="CJ15" s="61">
        <f t="shared" si="19"/>
        <v>0.48776579667598741</v>
      </c>
      <c r="CK15" s="61">
        <f t="shared" si="19"/>
        <v>0.45751086835239152</v>
      </c>
      <c r="CL15" s="61">
        <f t="shared" si="19"/>
        <v>0.43802011543526664</v>
      </c>
      <c r="CM15" s="61">
        <f t="shared" si="19"/>
        <v>0.41931398011108639</v>
      </c>
      <c r="CN15" s="61">
        <f t="shared" si="19"/>
        <v>0.40615581253351651</v>
      </c>
      <c r="CO15" s="61">
        <f t="shared" si="19"/>
        <v>0.39053380321852443</v>
      </c>
      <c r="CP15" s="61">
        <f t="shared" si="19"/>
        <v>0.3809463286105102</v>
      </c>
      <c r="CQ15" s="61">
        <f t="shared" si="19"/>
        <v>0.36966972898466516</v>
      </c>
      <c r="CR15" s="61">
        <f t="shared" si="19"/>
        <v>0.35755444641448514</v>
      </c>
      <c r="CS15" s="61">
        <f t="shared" si="19"/>
        <v>0.34565349200131634</v>
      </c>
      <c r="CT15" s="61">
        <f t="shared" si="19"/>
        <v>0.33490026773713155</v>
      </c>
      <c r="CU15" s="61">
        <f t="shared" si="19"/>
        <v>0.32496726195826664</v>
      </c>
      <c r="CV15" s="61">
        <f t="shared" si="19"/>
        <v>0.31275961775472538</v>
      </c>
      <c r="CW15" s="61">
        <f t="shared" si="19"/>
        <v>0.30032745218384188</v>
      </c>
      <c r="CX15" s="61">
        <f t="shared" si="19"/>
        <v>0.28735804375476698</v>
      </c>
      <c r="CY15" s="61">
        <f t="shared" si="19"/>
        <v>0.2715030931282269</v>
      </c>
      <c r="CZ15" s="7"/>
      <c r="DA15" s="7"/>
      <c r="DB15" s="60">
        <f t="shared" si="4"/>
        <v>0.44348556643421938</v>
      </c>
      <c r="DC15" s="60">
        <f t="shared" si="5"/>
        <v>0.30769230769230771</v>
      </c>
      <c r="DE15" s="20" t="s">
        <v>58</v>
      </c>
      <c r="DF15" s="61">
        <f>$DC15*DF$32</f>
        <v>0.49516115202255512</v>
      </c>
      <c r="DG15" s="61">
        <f t="shared" ref="DG15:EC18" si="20">$DC15*DG$32</f>
        <v>0.48041484336446855</v>
      </c>
      <c r="DH15" s="61">
        <f t="shared" si="20"/>
        <v>0.46566682672900328</v>
      </c>
      <c r="DI15" s="61">
        <f t="shared" si="20"/>
        <v>0.45057709820655978</v>
      </c>
      <c r="DJ15" s="61">
        <f t="shared" si="20"/>
        <v>0.42862385913421736</v>
      </c>
      <c r="DK15" s="61">
        <f t="shared" si="20"/>
        <v>0.41276547307601813</v>
      </c>
      <c r="DL15" s="61">
        <f t="shared" si="20"/>
        <v>0.39591082826576623</v>
      </c>
      <c r="DM15" s="61">
        <f t="shared" si="20"/>
        <v>0.3720674655814265</v>
      </c>
      <c r="DN15" s="61">
        <f t="shared" si="20"/>
        <v>0.35392110912770658</v>
      </c>
      <c r="DO15" s="61">
        <f t="shared" si="20"/>
        <v>0.33151223354248543</v>
      </c>
      <c r="DP15" s="61">
        <f t="shared" si="20"/>
        <v>0.31651777802776693</v>
      </c>
      <c r="DQ15" s="61">
        <f t="shared" si="20"/>
        <v>0.30219514154025984</v>
      </c>
      <c r="DR15" s="61">
        <f t="shared" si="20"/>
        <v>0.2925067123188283</v>
      </c>
      <c r="DS15" s="61">
        <f t="shared" si="20"/>
        <v>0.28071308444936161</v>
      </c>
      <c r="DT15" s="61">
        <f t="shared" si="20"/>
        <v>0.27368098180031125</v>
      </c>
      <c r="DU15" s="61">
        <f t="shared" si="20"/>
        <v>0.26476931120790492</v>
      </c>
      <c r="DV15" s="61">
        <f t="shared" si="20"/>
        <v>0.25487010792886194</v>
      </c>
      <c r="DW15" s="61">
        <f t="shared" si="20"/>
        <v>0.24649305774686744</v>
      </c>
      <c r="DX15" s="61">
        <f t="shared" si="20"/>
        <v>0.2384213125133256</v>
      </c>
      <c r="DY15" s="61">
        <f t="shared" si="20"/>
        <v>0.23076546535109316</v>
      </c>
      <c r="DZ15" s="61">
        <f t="shared" si="20"/>
        <v>0.22090624061804634</v>
      </c>
      <c r="EA15" s="61">
        <f t="shared" si="20"/>
        <v>0.21135414640475458</v>
      </c>
      <c r="EB15" s="61">
        <f t="shared" si="20"/>
        <v>0.20181924543136365</v>
      </c>
      <c r="EC15" s="61">
        <f t="shared" si="20"/>
        <v>0.20395041738439348</v>
      </c>
      <c r="ED15" s="7">
        <f t="shared" si="12"/>
        <v>0.32158712514322668</v>
      </c>
      <c r="EE15" s="7">
        <f t="shared" si="13"/>
        <v>0.30769230769230771</v>
      </c>
      <c r="EF15" s="6">
        <v>0.6551116687240045</v>
      </c>
    </row>
    <row r="16" spans="1:137">
      <c r="A16" s="20" t="s">
        <v>54</v>
      </c>
      <c r="B16">
        <v>37</v>
      </c>
      <c r="C16">
        <v>46</v>
      </c>
      <c r="D16">
        <v>111</v>
      </c>
      <c r="E16">
        <v>204</v>
      </c>
      <c r="F16">
        <v>422</v>
      </c>
      <c r="G16">
        <v>880</v>
      </c>
      <c r="H16">
        <v>1442</v>
      </c>
      <c r="I16">
        <v>1666</v>
      </c>
      <c r="J16">
        <v>1884</v>
      </c>
      <c r="K16">
        <v>2250</v>
      </c>
      <c r="L16">
        <v>2418</v>
      </c>
      <c r="M16">
        <v>2368</v>
      </c>
      <c r="N16">
        <v>2319</v>
      </c>
      <c r="O16">
        <v>2110</v>
      </c>
      <c r="P16">
        <v>1872</v>
      </c>
      <c r="Q16">
        <v>1567</v>
      </c>
      <c r="R16">
        <v>1061</v>
      </c>
      <c r="S16">
        <v>714</v>
      </c>
      <c r="T16">
        <v>447</v>
      </c>
      <c r="U16">
        <v>211</v>
      </c>
      <c r="V16">
        <v>120</v>
      </c>
      <c r="W16">
        <v>65</v>
      </c>
      <c r="X16">
        <v>21</v>
      </c>
      <c r="Y16">
        <v>20</v>
      </c>
      <c r="Z16">
        <v>26</v>
      </c>
      <c r="AA16">
        <v>29</v>
      </c>
      <c r="AB16">
        <v>55</v>
      </c>
      <c r="AC16">
        <v>109</v>
      </c>
      <c r="AD16">
        <v>234</v>
      </c>
      <c r="AE16">
        <v>465</v>
      </c>
      <c r="AF16">
        <v>767</v>
      </c>
      <c r="AG16">
        <v>849</v>
      </c>
      <c r="AH16">
        <v>921</v>
      </c>
      <c r="AI16">
        <v>1057</v>
      </c>
      <c r="AJ16">
        <v>1104</v>
      </c>
      <c r="AK16">
        <v>1059</v>
      </c>
      <c r="AL16">
        <v>1019</v>
      </c>
      <c r="AM16">
        <v>946</v>
      </c>
      <c r="AN16">
        <v>747</v>
      </c>
      <c r="AO16">
        <v>582</v>
      </c>
      <c r="AP16">
        <v>390</v>
      </c>
      <c r="AQ16">
        <v>240</v>
      </c>
      <c r="AR16">
        <v>137</v>
      </c>
      <c r="AS16">
        <v>64</v>
      </c>
      <c r="AT16">
        <v>35</v>
      </c>
      <c r="AU16">
        <v>20</v>
      </c>
      <c r="AV16">
        <v>8</v>
      </c>
      <c r="AW16">
        <v>8</v>
      </c>
      <c r="AX16" s="8">
        <v>0.70270270270270274</v>
      </c>
      <c r="AY16" s="8">
        <v>0.63043478260869568</v>
      </c>
      <c r="AZ16" s="8">
        <v>0.49549549549549549</v>
      </c>
      <c r="BA16" s="8">
        <v>0.53431372549019607</v>
      </c>
      <c r="BB16" s="8">
        <v>0.5545023696682464</v>
      </c>
      <c r="BC16" s="8">
        <v>0.52840909090909094</v>
      </c>
      <c r="BD16" s="8">
        <v>0.53190013869625519</v>
      </c>
      <c r="BE16" s="8">
        <v>0.50960384153661464</v>
      </c>
      <c r="BF16" s="8">
        <v>0.48885350318471338</v>
      </c>
      <c r="BG16" s="8">
        <v>0.46977777777777779</v>
      </c>
      <c r="BH16" s="8">
        <v>0.45657568238213397</v>
      </c>
      <c r="BI16" s="8">
        <v>0.44721283783783783</v>
      </c>
      <c r="BJ16" s="8">
        <v>0.43941354031910307</v>
      </c>
      <c r="BK16" s="8">
        <v>0.44834123222748817</v>
      </c>
      <c r="BL16" s="8">
        <v>0.39903846153846156</v>
      </c>
      <c r="BM16" s="8">
        <v>0.37141033822590935</v>
      </c>
      <c r="BN16" s="8">
        <v>0.36757775683317623</v>
      </c>
      <c r="BO16" s="8">
        <v>0.33613445378151263</v>
      </c>
      <c r="BP16" s="8">
        <v>0.30648769574944074</v>
      </c>
      <c r="BQ16" s="8">
        <v>0.30331753554502372</v>
      </c>
      <c r="BR16" s="8">
        <v>0.29166666666666669</v>
      </c>
      <c r="BS16" s="8">
        <v>0.30769230769230771</v>
      </c>
      <c r="BT16" s="8">
        <v>0.38095238095238093</v>
      </c>
      <c r="BU16" s="8">
        <v>0.4</v>
      </c>
      <c r="BV16">
        <v>24255</v>
      </c>
      <c r="BW16">
        <v>10871</v>
      </c>
      <c r="BX16" s="8">
        <v>0.4481962481962482</v>
      </c>
      <c r="BZ16" t="s">
        <v>378</v>
      </c>
      <c r="CA16" s="20" t="s">
        <v>54</v>
      </c>
      <c r="CB16" s="8">
        <f>+AX16</f>
        <v>0.70270270270270274</v>
      </c>
      <c r="CC16" s="8">
        <f t="shared" ref="CC16:CV16" si="21">+AY16</f>
        <v>0.63043478260869568</v>
      </c>
      <c r="CD16" s="8">
        <v>0.61</v>
      </c>
      <c r="CE16" s="8">
        <v>0.59</v>
      </c>
      <c r="CF16" s="8">
        <v>0.56999999999999995</v>
      </c>
      <c r="CG16" s="8">
        <v>0.55000000000000004</v>
      </c>
      <c r="CH16" s="8">
        <v>0.53</v>
      </c>
      <c r="CI16" s="8">
        <f t="shared" si="21"/>
        <v>0.50960384153661464</v>
      </c>
      <c r="CJ16" s="8">
        <f t="shared" si="21"/>
        <v>0.48885350318471338</v>
      </c>
      <c r="CK16" s="8">
        <f t="shared" si="21"/>
        <v>0.46977777777777779</v>
      </c>
      <c r="CL16" s="8">
        <f t="shared" si="21"/>
        <v>0.45657568238213397</v>
      </c>
      <c r="CM16" s="8">
        <f t="shared" si="21"/>
        <v>0.44721283783783783</v>
      </c>
      <c r="CN16" s="8">
        <f t="shared" si="21"/>
        <v>0.43941354031910307</v>
      </c>
      <c r="CO16" s="8">
        <v>0.42</v>
      </c>
      <c r="CP16" s="8">
        <f t="shared" si="21"/>
        <v>0.39903846153846156</v>
      </c>
      <c r="CQ16" s="8">
        <v>0.38</v>
      </c>
      <c r="CR16" s="7">
        <f t="shared" si="21"/>
        <v>0.36757775683317623</v>
      </c>
      <c r="CS16" s="8">
        <f t="shared" si="21"/>
        <v>0.33613445378151263</v>
      </c>
      <c r="CT16" s="8">
        <f t="shared" si="21"/>
        <v>0.30648769574944074</v>
      </c>
      <c r="CU16" s="7">
        <f t="shared" si="21"/>
        <v>0.30331753554502372</v>
      </c>
      <c r="CV16" s="7">
        <f t="shared" si="21"/>
        <v>0.29166666666666669</v>
      </c>
      <c r="CW16" s="8">
        <v>0.28000000000000003</v>
      </c>
      <c r="CX16" s="8">
        <v>0.27</v>
      </c>
      <c r="CY16" s="8">
        <v>0.26</v>
      </c>
      <c r="CZ16" s="7">
        <f>SUMPRODUCT(CB16:CY16,B16:Y16)/SUM(B16:Y16)</f>
        <v>0.44793238507524225</v>
      </c>
      <c r="DA16" s="7">
        <f>BX16</f>
        <v>0.4481962481962482</v>
      </c>
      <c r="DB16" s="60">
        <f t="shared" si="4"/>
        <v>0.42351974370184953</v>
      </c>
      <c r="DC16" s="60">
        <f t="shared" si="5"/>
        <v>0.42701227830832195</v>
      </c>
      <c r="DE16" s="20" t="s">
        <v>54</v>
      </c>
      <c r="DF16" s="8">
        <f t="shared" ref="DF16:EC16" si="22">CB16*$EF16</f>
        <v>0.72113644952403722</v>
      </c>
      <c r="DG16" s="8">
        <f t="shared" si="22"/>
        <v>0.64697275111980923</v>
      </c>
      <c r="DH16" s="8">
        <f t="shared" si="22"/>
        <v>0.62600191022144303</v>
      </c>
      <c r="DI16" s="8">
        <f t="shared" si="22"/>
        <v>0.6054772574272973</v>
      </c>
      <c r="DJ16" s="8">
        <f t="shared" si="22"/>
        <v>0.58495260463315157</v>
      </c>
      <c r="DK16" s="8">
        <f t="shared" si="22"/>
        <v>0.56442795183900607</v>
      </c>
      <c r="DL16" s="8">
        <f t="shared" si="22"/>
        <v>0.54390329904486034</v>
      </c>
      <c r="DM16" s="8">
        <f t="shared" si="22"/>
        <v>0.52297209550509227</v>
      </c>
      <c r="DN16" s="8">
        <f t="shared" si="22"/>
        <v>0.5016774210034014</v>
      </c>
      <c r="DO16" s="8">
        <f t="shared" si="22"/>
        <v>0.48210128896471061</v>
      </c>
      <c r="DP16" s="8">
        <f t="shared" si="22"/>
        <v>0.46855286775717164</v>
      </c>
      <c r="DQ16" s="8">
        <f t="shared" si="22"/>
        <v>0.4589444110853097</v>
      </c>
      <c r="DR16" s="8">
        <f t="shared" si="22"/>
        <v>0.45094051740479607</v>
      </c>
      <c r="DS16" s="8">
        <f t="shared" si="22"/>
        <v>0.43101770867705913</v>
      </c>
      <c r="DT16" s="8">
        <f t="shared" si="22"/>
        <v>0.40950629372934877</v>
      </c>
      <c r="DU16" s="8">
        <f t="shared" si="22"/>
        <v>0.38996840308876779</v>
      </c>
      <c r="DV16" s="8">
        <f t="shared" si="22"/>
        <v>0.37722029169259247</v>
      </c>
      <c r="DW16" s="8">
        <f t="shared" si="22"/>
        <v>0.34495214780076761</v>
      </c>
      <c r="DX16" s="8">
        <f t="shared" si="22"/>
        <v>0.31452767704675139</v>
      </c>
      <c r="DY16" s="8">
        <f t="shared" si="22"/>
        <v>0.31127435517187751</v>
      </c>
      <c r="DZ16" s="8">
        <f t="shared" si="22"/>
        <v>0.29931785324795773</v>
      </c>
      <c r="EA16" s="8">
        <f t="shared" si="22"/>
        <v>0.28734513911803944</v>
      </c>
      <c r="EB16" s="8">
        <f t="shared" si="22"/>
        <v>0.27708281272096658</v>
      </c>
      <c r="EC16" s="8">
        <f t="shared" si="22"/>
        <v>0.26682048632389377</v>
      </c>
      <c r="ED16" s="7">
        <f t="shared" si="12"/>
        <v>0.45023411449216444</v>
      </c>
      <c r="EE16" s="7">
        <f t="shared" si="13"/>
        <v>0.42701227830832195</v>
      </c>
      <c r="EF16" s="6">
        <v>1.0262326397072836</v>
      </c>
    </row>
    <row r="17" spans="1:145">
      <c r="A17" s="20" t="s">
        <v>57</v>
      </c>
      <c r="B17">
        <v>26</v>
      </c>
      <c r="C17">
        <v>37</v>
      </c>
      <c r="D17">
        <v>65</v>
      </c>
      <c r="E17">
        <v>116</v>
      </c>
      <c r="F17">
        <v>206</v>
      </c>
      <c r="G17">
        <v>416</v>
      </c>
      <c r="H17">
        <v>744</v>
      </c>
      <c r="I17">
        <v>904</v>
      </c>
      <c r="J17">
        <v>1017</v>
      </c>
      <c r="K17">
        <v>1261</v>
      </c>
      <c r="L17">
        <v>1244</v>
      </c>
      <c r="M17">
        <v>1327</v>
      </c>
      <c r="N17">
        <v>1293</v>
      </c>
      <c r="O17">
        <v>1173</v>
      </c>
      <c r="P17">
        <v>1035</v>
      </c>
      <c r="Q17">
        <v>850</v>
      </c>
      <c r="R17">
        <v>648</v>
      </c>
      <c r="S17">
        <v>443</v>
      </c>
      <c r="T17">
        <v>289</v>
      </c>
      <c r="U17">
        <v>153</v>
      </c>
      <c r="V17">
        <v>80</v>
      </c>
      <c r="W17">
        <v>35</v>
      </c>
      <c r="X17">
        <v>25</v>
      </c>
      <c r="Y17">
        <v>13</v>
      </c>
      <c r="Z17">
        <v>-4</v>
      </c>
      <c r="AA17">
        <v>-11</v>
      </c>
      <c r="AB17">
        <v>-13</v>
      </c>
      <c r="AC17">
        <v>-26</v>
      </c>
      <c r="AD17">
        <v>-53</v>
      </c>
      <c r="AE17">
        <v>-86</v>
      </c>
      <c r="AF17">
        <v>-171</v>
      </c>
      <c r="AG17">
        <v>-199</v>
      </c>
      <c r="AH17">
        <v>-229</v>
      </c>
      <c r="AI17">
        <v>-327</v>
      </c>
      <c r="AJ17">
        <v>-279</v>
      </c>
      <c r="AK17">
        <v>-281</v>
      </c>
      <c r="AL17">
        <v>-283</v>
      </c>
      <c r="AM17">
        <v>-250</v>
      </c>
      <c r="AN17">
        <v>-268</v>
      </c>
      <c r="AO17">
        <v>-190</v>
      </c>
      <c r="AP17">
        <v>-139</v>
      </c>
      <c r="AQ17">
        <v>-88</v>
      </c>
      <c r="AR17">
        <v>-59</v>
      </c>
      <c r="AS17">
        <v>-22</v>
      </c>
      <c r="AT17">
        <v>-20</v>
      </c>
      <c r="AU17">
        <v>-3</v>
      </c>
      <c r="AV17">
        <v>-7</v>
      </c>
      <c r="AW17">
        <v>0</v>
      </c>
      <c r="AX17" s="8">
        <v>-0.15384615384615385</v>
      </c>
      <c r="AY17" s="8">
        <v>-0.29729729729729731</v>
      </c>
      <c r="AZ17" s="8">
        <v>-0.2</v>
      </c>
      <c r="BA17" s="8">
        <v>-0.22413793103448276</v>
      </c>
      <c r="BB17" s="8">
        <v>-0.25728155339805825</v>
      </c>
      <c r="BC17" s="8">
        <v>-0.20673076923076922</v>
      </c>
      <c r="BD17" s="8">
        <v>-0.22983870967741934</v>
      </c>
      <c r="BE17" s="8">
        <v>-0.22013274336283187</v>
      </c>
      <c r="BF17" s="8">
        <v>-0.22517207472959685</v>
      </c>
      <c r="BG17" s="8">
        <v>-0.25931800158604285</v>
      </c>
      <c r="BH17" s="8">
        <v>-0.22427652733118972</v>
      </c>
      <c r="BI17" s="8">
        <v>-0.21175584024114544</v>
      </c>
      <c r="BJ17" s="8">
        <v>-0.21887084300077339</v>
      </c>
      <c r="BK17" s="8">
        <v>-0.21312872975277067</v>
      </c>
      <c r="BL17" s="8">
        <v>-0.25893719806763282</v>
      </c>
      <c r="BM17" s="8">
        <v>-0.22352941176470589</v>
      </c>
      <c r="BN17" s="8">
        <v>-0.21450617283950618</v>
      </c>
      <c r="BO17" s="8">
        <v>-0.19864559819413091</v>
      </c>
      <c r="BP17" s="8">
        <v>-0.20415224913494809</v>
      </c>
      <c r="BQ17" s="8">
        <v>-0.1437908496732026</v>
      </c>
      <c r="BR17" s="8">
        <v>-0.25</v>
      </c>
      <c r="BS17" s="8">
        <v>-8.5714285714285715E-2</v>
      </c>
      <c r="BT17" s="8">
        <v>-0.28000000000000003</v>
      </c>
      <c r="BU17" s="8">
        <v>0</v>
      </c>
      <c r="BV17">
        <v>13400</v>
      </c>
      <c r="BW17">
        <v>-3008</v>
      </c>
      <c r="BX17" s="8">
        <v>-0.2244776119402985</v>
      </c>
      <c r="BZ17" t="s">
        <v>379</v>
      </c>
      <c r="CA17" s="20" t="s">
        <v>57</v>
      </c>
      <c r="CB17" s="61">
        <f>$BX17*-1*CB$32</f>
        <v>0.36092173842349945</v>
      </c>
      <c r="CC17" s="61">
        <f t="shared" ref="CC17:CY18" si="23">$BX17*-1*CC$32</f>
        <v>0.34921232927522666</v>
      </c>
      <c r="CD17" s="61">
        <f t="shared" si="23"/>
        <v>0.33792087200276233</v>
      </c>
      <c r="CE17" s="61">
        <f t="shared" si="23"/>
        <v>0.32374185772222547</v>
      </c>
      <c r="CF17" s="61">
        <f t="shared" si="23"/>
        <v>0.30737302276683692</v>
      </c>
      <c r="CG17" s="61">
        <f t="shared" si="23"/>
        <v>0.29389822439625707</v>
      </c>
      <c r="CH17" s="61">
        <f t="shared" si="23"/>
        <v>0.27980271926734551</v>
      </c>
      <c r="CI17" s="61">
        <f t="shared" si="23"/>
        <v>0.26389564391220854</v>
      </c>
      <c r="CJ17" s="61">
        <f t="shared" si="23"/>
        <v>0.25125647649292904</v>
      </c>
      <c r="CK17" s="61">
        <f t="shared" si="23"/>
        <v>0.23567164717743175</v>
      </c>
      <c r="CL17" s="61">
        <f t="shared" si="23"/>
        <v>0.22563162810367909</v>
      </c>
      <c r="CM17" s="61">
        <f t="shared" si="23"/>
        <v>0.2159957789269161</v>
      </c>
      <c r="CN17" s="61">
        <f t="shared" si="23"/>
        <v>0.20921778250901668</v>
      </c>
      <c r="CO17" s="61">
        <f t="shared" si="23"/>
        <v>0.20117061921266935</v>
      </c>
      <c r="CP17" s="61">
        <f t="shared" si="23"/>
        <v>0.19623194761066018</v>
      </c>
      <c r="CQ17" s="61">
        <f t="shared" si="23"/>
        <v>0.19042317891855479</v>
      </c>
      <c r="CR17" s="61">
        <f t="shared" si="23"/>
        <v>0.18418239034534181</v>
      </c>
      <c r="CS17" s="61">
        <f t="shared" si="23"/>
        <v>0.17805200585931752</v>
      </c>
      <c r="CT17" s="61">
        <f t="shared" si="23"/>
        <v>0.17251283673764145</v>
      </c>
      <c r="CU17" s="61">
        <f t="shared" si="23"/>
        <v>0.16739617613948279</v>
      </c>
      <c r="CV17" s="61">
        <f t="shared" si="23"/>
        <v>0.16110781051449696</v>
      </c>
      <c r="CW17" s="61">
        <f t="shared" si="23"/>
        <v>0.15470379010592394</v>
      </c>
      <c r="CX17" s="61">
        <f t="shared" si="23"/>
        <v>0.14802302674306828</v>
      </c>
      <c r="CY17" s="61">
        <f t="shared" si="23"/>
        <v>0.13985587140634406</v>
      </c>
      <c r="CZ17" s="7"/>
      <c r="DA17" s="7"/>
      <c r="DB17" s="60">
        <f t="shared" si="4"/>
        <v>0.21124397046029328</v>
      </c>
      <c r="DC17" s="60">
        <f>BX41*-1</f>
        <v>0.21311475409836064</v>
      </c>
      <c r="DE17" s="20" t="s">
        <v>57</v>
      </c>
      <c r="DF17" s="61">
        <f>$DC17*DF$32</f>
        <v>0.34295997824513036</v>
      </c>
      <c r="DG17" s="61">
        <f t="shared" si="20"/>
        <v>0.33274634642866874</v>
      </c>
      <c r="DH17" s="61">
        <f t="shared" si="20"/>
        <v>0.32253153162787518</v>
      </c>
      <c r="DI17" s="61">
        <f t="shared" si="20"/>
        <v>0.31208003933159262</v>
      </c>
      <c r="DJ17" s="61">
        <f t="shared" si="20"/>
        <v>0.29687472210525706</v>
      </c>
      <c r="DK17" s="61">
        <f t="shared" si="20"/>
        <v>0.28589083995838954</v>
      </c>
      <c r="DL17" s="61">
        <f t="shared" si="20"/>
        <v>0.27421692613489546</v>
      </c>
      <c r="DM17" s="61">
        <f t="shared" si="20"/>
        <v>0.2577024659150044</v>
      </c>
      <c r="DN17" s="61">
        <f t="shared" si="20"/>
        <v>0.24513388296140332</v>
      </c>
      <c r="DO17" s="61">
        <f t="shared" si="20"/>
        <v>0.22961298142901651</v>
      </c>
      <c r="DP17" s="61">
        <f t="shared" si="20"/>
        <v>0.21922747740447787</v>
      </c>
      <c r="DQ17" s="61">
        <f t="shared" si="20"/>
        <v>0.20930729065698322</v>
      </c>
      <c r="DR17" s="61">
        <f t="shared" si="20"/>
        <v>0.20259686222082779</v>
      </c>
      <c r="DS17" s="61">
        <f t="shared" si="20"/>
        <v>0.19442832488500864</v>
      </c>
      <c r="DT17" s="61">
        <f t="shared" si="20"/>
        <v>0.18955772919775651</v>
      </c>
      <c r="DU17" s="61">
        <f t="shared" si="20"/>
        <v>0.18338530161531116</v>
      </c>
      <c r="DV17" s="61">
        <f t="shared" si="20"/>
        <v>0.17652888622941665</v>
      </c>
      <c r="DW17" s="61">
        <f t="shared" si="20"/>
        <v>0.17072674901319915</v>
      </c>
      <c r="DX17" s="61">
        <f t="shared" si="20"/>
        <v>0.16513607301127878</v>
      </c>
      <c r="DY17" s="61">
        <f t="shared" si="20"/>
        <v>0.15983345755874892</v>
      </c>
      <c r="DZ17" s="61">
        <f t="shared" si="20"/>
        <v>0.15300473223135175</v>
      </c>
      <c r="EA17" s="61">
        <f t="shared" si="20"/>
        <v>0.14638873255083412</v>
      </c>
      <c r="EB17" s="61">
        <f t="shared" si="20"/>
        <v>0.13978464130287072</v>
      </c>
      <c r="EC17" s="61">
        <f t="shared" si="20"/>
        <v>0.14126073990968235</v>
      </c>
      <c r="ED17" s="7">
        <f t="shared" si="12"/>
        <v>0.21360892754461105</v>
      </c>
      <c r="EE17" s="7">
        <f t="shared" si="13"/>
        <v>0.21311475409836064</v>
      </c>
      <c r="EF17" s="6">
        <v>0.87379592297540487</v>
      </c>
    </row>
    <row r="18" spans="1:145">
      <c r="A18" s="20" t="s">
        <v>56</v>
      </c>
      <c r="B18">
        <v>33</v>
      </c>
      <c r="C18">
        <v>47</v>
      </c>
      <c r="D18">
        <v>81</v>
      </c>
      <c r="E18">
        <v>142</v>
      </c>
      <c r="F18">
        <v>320</v>
      </c>
      <c r="G18">
        <v>620</v>
      </c>
      <c r="H18">
        <v>1083</v>
      </c>
      <c r="I18">
        <v>1273</v>
      </c>
      <c r="J18">
        <v>1482</v>
      </c>
      <c r="K18">
        <v>1648</v>
      </c>
      <c r="L18">
        <v>1817</v>
      </c>
      <c r="M18">
        <v>1901</v>
      </c>
      <c r="N18">
        <v>1821</v>
      </c>
      <c r="O18">
        <v>1648</v>
      </c>
      <c r="P18">
        <v>1430</v>
      </c>
      <c r="Q18">
        <v>1212</v>
      </c>
      <c r="R18">
        <v>787</v>
      </c>
      <c r="S18">
        <v>605</v>
      </c>
      <c r="T18">
        <v>360</v>
      </c>
      <c r="U18">
        <v>159</v>
      </c>
      <c r="V18">
        <v>78</v>
      </c>
      <c r="W18">
        <v>47</v>
      </c>
      <c r="X18">
        <v>22</v>
      </c>
      <c r="Y18">
        <v>14</v>
      </c>
      <c r="Z18">
        <v>-7</v>
      </c>
      <c r="AA18">
        <v>-14</v>
      </c>
      <c r="AB18">
        <v>-25</v>
      </c>
      <c r="AC18">
        <v>-35</v>
      </c>
      <c r="AD18">
        <v>-102</v>
      </c>
      <c r="AE18">
        <v>-179</v>
      </c>
      <c r="AF18">
        <v>-297</v>
      </c>
      <c r="AG18">
        <v>-342</v>
      </c>
      <c r="AH18">
        <v>-405</v>
      </c>
      <c r="AI18">
        <v>-434</v>
      </c>
      <c r="AJ18">
        <v>-453</v>
      </c>
      <c r="AK18">
        <v>-461</v>
      </c>
      <c r="AL18">
        <v>-473</v>
      </c>
      <c r="AM18">
        <v>-403</v>
      </c>
      <c r="AN18">
        <v>-330</v>
      </c>
      <c r="AO18">
        <v>-261</v>
      </c>
      <c r="AP18">
        <v>-181</v>
      </c>
      <c r="AQ18">
        <v>-127</v>
      </c>
      <c r="AR18">
        <v>-69</v>
      </c>
      <c r="AS18">
        <v>-37</v>
      </c>
      <c r="AT18">
        <v>-16</v>
      </c>
      <c r="AU18">
        <v>-5</v>
      </c>
      <c r="AV18">
        <v>-8</v>
      </c>
      <c r="AW18">
        <v>-3</v>
      </c>
      <c r="AX18" s="8">
        <v>-0.21212121212121213</v>
      </c>
      <c r="AY18" s="8">
        <v>-0.2978723404255319</v>
      </c>
      <c r="AZ18" s="8">
        <v>-0.30864197530864196</v>
      </c>
      <c r="BA18" s="8">
        <v>-0.24647887323943662</v>
      </c>
      <c r="BB18" s="8">
        <v>-0.31874999999999998</v>
      </c>
      <c r="BC18" s="8">
        <v>-0.28870967741935483</v>
      </c>
      <c r="BD18" s="8">
        <v>-0.2742382271468144</v>
      </c>
      <c r="BE18" s="8">
        <v>-0.26865671641791045</v>
      </c>
      <c r="BF18" s="8">
        <v>-0.27327935222672067</v>
      </c>
      <c r="BG18" s="8">
        <v>-0.26334951456310679</v>
      </c>
      <c r="BH18" s="8">
        <v>-0.24931205283434232</v>
      </c>
      <c r="BI18" s="8">
        <v>-0.2425039452919516</v>
      </c>
      <c r="BJ18" s="8">
        <v>-0.25974739154310816</v>
      </c>
      <c r="BK18" s="8">
        <v>-0.24453883495145631</v>
      </c>
      <c r="BL18" s="8">
        <v>-0.23076923076923078</v>
      </c>
      <c r="BM18" s="8">
        <v>-0.21534653465346534</v>
      </c>
      <c r="BN18" s="8">
        <v>-0.22998729351969505</v>
      </c>
      <c r="BO18" s="8">
        <v>-0.20991735537190082</v>
      </c>
      <c r="BP18" s="8">
        <v>-0.19166666666666668</v>
      </c>
      <c r="BQ18" s="8">
        <v>-0.23270440251572327</v>
      </c>
      <c r="BR18" s="8">
        <v>-0.20512820512820512</v>
      </c>
      <c r="BS18" s="8">
        <v>-0.10638297872340426</v>
      </c>
      <c r="BT18" s="8">
        <v>-0.36363636363636365</v>
      </c>
      <c r="BU18" s="8">
        <v>-0.21428571428571427</v>
      </c>
      <c r="BV18">
        <v>18630</v>
      </c>
      <c r="BW18">
        <v>-4667</v>
      </c>
      <c r="BX18" s="8">
        <v>-0.25050993022007517</v>
      </c>
      <c r="BZ18" t="s">
        <v>380</v>
      </c>
      <c r="CA18" s="20" t="s">
        <v>56</v>
      </c>
      <c r="CB18" s="61">
        <f>$BX18*-1*CB$32</f>
        <v>0.40277726908207434</v>
      </c>
      <c r="CC18" s="61">
        <f t="shared" si="23"/>
        <v>0.38970993803156284</v>
      </c>
      <c r="CD18" s="61">
        <f t="shared" si="23"/>
        <v>0.37710902808353519</v>
      </c>
      <c r="CE18" s="61">
        <f t="shared" si="23"/>
        <v>0.36128569564826585</v>
      </c>
      <c r="CF18" s="61">
        <f t="shared" si="23"/>
        <v>0.34301859245247412</v>
      </c>
      <c r="CG18" s="61">
        <f t="shared" si="23"/>
        <v>0.32798114274706075</v>
      </c>
      <c r="CH18" s="61">
        <f t="shared" si="23"/>
        <v>0.31225100388938504</v>
      </c>
      <c r="CI18" s="61">
        <f t="shared" si="23"/>
        <v>0.29449920983394645</v>
      </c>
      <c r="CJ18" s="61">
        <f t="shared" si="23"/>
        <v>0.28039429789695719</v>
      </c>
      <c r="CK18" s="61">
        <f t="shared" si="23"/>
        <v>0.26300212025139608</v>
      </c>
      <c r="CL18" s="61">
        <f t="shared" si="23"/>
        <v>0.25179777583667146</v>
      </c>
      <c r="CM18" s="61">
        <f t="shared" si="23"/>
        <v>0.24104447227103989</v>
      </c>
      <c r="CN18" s="61">
        <f t="shared" si="23"/>
        <v>0.23348044218802436</v>
      </c>
      <c r="CO18" s="61">
        <f t="shared" si="23"/>
        <v>0.22450006192465244</v>
      </c>
      <c r="CP18" s="61">
        <f t="shared" si="23"/>
        <v>0.21898866028550712</v>
      </c>
      <c r="CQ18" s="61">
        <f t="shared" si="23"/>
        <v>0.21250625775482232</v>
      </c>
      <c r="CR18" s="61">
        <f t="shared" si="23"/>
        <v>0.20554173467173811</v>
      </c>
      <c r="CS18" s="61">
        <f t="shared" si="23"/>
        <v>0.19870041906550912</v>
      </c>
      <c r="CT18" s="61">
        <f t="shared" si="23"/>
        <v>0.19251888114663054</v>
      </c>
      <c r="CU18" s="61">
        <f t="shared" si="23"/>
        <v>0.18680884940526726</v>
      </c>
      <c r="CV18" s="61">
        <f t="shared" si="23"/>
        <v>0.17979123183397699</v>
      </c>
      <c r="CW18" s="61">
        <f t="shared" si="23"/>
        <v>0.17264454717436722</v>
      </c>
      <c r="CX18" s="61">
        <f t="shared" si="23"/>
        <v>0.16518902611202221</v>
      </c>
      <c r="CY18" s="61">
        <f t="shared" si="23"/>
        <v>0.15607473851864104</v>
      </c>
      <c r="CZ18" s="7"/>
      <c r="DA18" s="7"/>
      <c r="DB18" s="60">
        <f t="shared" si="4"/>
        <v>0.2362694255721533</v>
      </c>
      <c r="DC18" s="60">
        <f>BX42*-1</f>
        <v>0.2145748987854251</v>
      </c>
      <c r="DE18" s="20" t="s">
        <v>56</v>
      </c>
      <c r="DF18" s="61">
        <f>$DC18*DF$32</f>
        <v>0.34530975075257131</v>
      </c>
      <c r="DG18" s="61">
        <f t="shared" si="20"/>
        <v>0.33502614076732673</v>
      </c>
      <c r="DH18" s="61">
        <f t="shared" si="20"/>
        <v>0.32474133969259439</v>
      </c>
      <c r="DI18" s="61">
        <f t="shared" si="20"/>
        <v>0.31421823953878508</v>
      </c>
      <c r="DJ18" s="61">
        <f t="shared" si="20"/>
        <v>0.29890874386991473</v>
      </c>
      <c r="DK18" s="61">
        <f t="shared" si="20"/>
        <v>0.28784960622406525</v>
      </c>
      <c r="DL18" s="61">
        <f t="shared" si="20"/>
        <v>0.27609570918533699</v>
      </c>
      <c r="DM18" s="61">
        <f t="shared" si="20"/>
        <v>0.25946810099757373</v>
      </c>
      <c r="DN18" s="61">
        <f t="shared" si="20"/>
        <v>0.24681340504958485</v>
      </c>
      <c r="DO18" s="61">
        <f t="shared" si="20"/>
        <v>0.23118616286515431</v>
      </c>
      <c r="DP18" s="61">
        <f t="shared" si="20"/>
        <v>0.2207295030983111</v>
      </c>
      <c r="DQ18" s="61">
        <f t="shared" si="20"/>
        <v>0.21074134870570752</v>
      </c>
      <c r="DR18" s="61">
        <f t="shared" si="20"/>
        <v>0.20398494411707763</v>
      </c>
      <c r="DS18" s="61">
        <f t="shared" si="20"/>
        <v>0.19576044047126534</v>
      </c>
      <c r="DT18" s="61">
        <f t="shared" si="20"/>
        <v>0.19085647415021703</v>
      </c>
      <c r="DU18" s="61">
        <f t="shared" si="20"/>
        <v>0.18464175650024947</v>
      </c>
      <c r="DV18" s="61">
        <f t="shared" si="20"/>
        <v>0.17773836473986424</v>
      </c>
      <c r="DW18" s="61">
        <f t="shared" si="20"/>
        <v>0.17189647448136808</v>
      </c>
      <c r="DX18" s="61">
        <f t="shared" si="20"/>
        <v>0.16626749425271389</v>
      </c>
      <c r="DY18" s="61">
        <f t="shared" si="20"/>
        <v>0.16092854820536759</v>
      </c>
      <c r="DZ18" s="61">
        <f t="shared" si="20"/>
        <v>0.15405303622047969</v>
      </c>
      <c r="EA18" s="61">
        <f t="shared" si="20"/>
        <v>0.14739170736121043</v>
      </c>
      <c r="EB18" s="61">
        <f t="shared" si="20"/>
        <v>0.14074236852450359</v>
      </c>
      <c r="EC18" s="61">
        <f t="shared" si="20"/>
        <v>0.14222858054437965</v>
      </c>
      <c r="ED18" s="7">
        <f t="shared" si="12"/>
        <v>0.20577105024950137</v>
      </c>
      <c r="EE18" s="7">
        <f t="shared" si="13"/>
        <v>0.2145748987854251</v>
      </c>
      <c r="EF18" s="6">
        <v>0.84498503568451666</v>
      </c>
    </row>
    <row r="19" spans="1:145">
      <c r="A19" s="20" t="s">
        <v>52</v>
      </c>
      <c r="B19">
        <v>56</v>
      </c>
      <c r="C19">
        <v>65</v>
      </c>
      <c r="D19">
        <v>109</v>
      </c>
      <c r="E19">
        <v>209</v>
      </c>
      <c r="F19">
        <v>461</v>
      </c>
      <c r="G19">
        <v>976</v>
      </c>
      <c r="H19">
        <v>1575</v>
      </c>
      <c r="I19">
        <v>1811</v>
      </c>
      <c r="J19">
        <v>2054</v>
      </c>
      <c r="K19">
        <v>2447</v>
      </c>
      <c r="L19">
        <v>2639</v>
      </c>
      <c r="M19">
        <v>2780</v>
      </c>
      <c r="N19">
        <v>2583</v>
      </c>
      <c r="O19">
        <v>2458</v>
      </c>
      <c r="P19">
        <v>2020</v>
      </c>
      <c r="Q19">
        <v>1724</v>
      </c>
      <c r="R19">
        <v>1238</v>
      </c>
      <c r="S19">
        <v>816</v>
      </c>
      <c r="T19">
        <v>501</v>
      </c>
      <c r="U19">
        <v>259</v>
      </c>
      <c r="V19">
        <v>136</v>
      </c>
      <c r="W19">
        <v>51</v>
      </c>
      <c r="X19">
        <v>34</v>
      </c>
      <c r="Y19">
        <v>26</v>
      </c>
      <c r="Z19">
        <v>56</v>
      </c>
      <c r="AA19">
        <v>64</v>
      </c>
      <c r="AB19">
        <v>103</v>
      </c>
      <c r="AC19">
        <v>184</v>
      </c>
      <c r="AD19">
        <v>398</v>
      </c>
      <c r="AE19">
        <v>804</v>
      </c>
      <c r="AF19">
        <v>1237</v>
      </c>
      <c r="AG19">
        <v>1307</v>
      </c>
      <c r="AH19">
        <v>1440</v>
      </c>
      <c r="AI19">
        <v>1599</v>
      </c>
      <c r="AJ19">
        <v>1680</v>
      </c>
      <c r="AK19">
        <v>1716</v>
      </c>
      <c r="AL19">
        <v>1516</v>
      </c>
      <c r="AM19">
        <v>1393</v>
      </c>
      <c r="AN19">
        <v>1081</v>
      </c>
      <c r="AO19">
        <v>934</v>
      </c>
      <c r="AP19">
        <v>645</v>
      </c>
      <c r="AQ19">
        <v>410</v>
      </c>
      <c r="AR19">
        <v>256</v>
      </c>
      <c r="AS19">
        <v>119</v>
      </c>
      <c r="AT19">
        <v>49</v>
      </c>
      <c r="AU19">
        <v>21</v>
      </c>
      <c r="AV19">
        <v>13</v>
      </c>
      <c r="AW19">
        <v>11</v>
      </c>
      <c r="AX19" s="8">
        <v>1</v>
      </c>
      <c r="AY19" s="8">
        <v>0.98461538461538467</v>
      </c>
      <c r="AZ19" s="8">
        <v>0.94495412844036697</v>
      </c>
      <c r="BA19" s="8">
        <v>0.88038277511961727</v>
      </c>
      <c r="BB19" s="8">
        <v>0.8633405639913232</v>
      </c>
      <c r="BC19" s="8">
        <v>0.82377049180327866</v>
      </c>
      <c r="BD19" s="8">
        <v>0.78539682539682543</v>
      </c>
      <c r="BE19" s="8">
        <v>0.72170071783544998</v>
      </c>
      <c r="BF19" s="8">
        <v>0.70107108081791625</v>
      </c>
      <c r="BG19" s="8">
        <v>0.65345320800980788</v>
      </c>
      <c r="BH19" s="8">
        <v>0.63660477453580899</v>
      </c>
      <c r="BI19" s="8">
        <v>0.61726618705035974</v>
      </c>
      <c r="BJ19" s="8">
        <v>0.58691444057297715</v>
      </c>
      <c r="BK19" s="8">
        <v>0.56672091131000812</v>
      </c>
      <c r="BL19" s="8">
        <v>0.53514851485148518</v>
      </c>
      <c r="BM19" s="8">
        <v>0.54176334106728541</v>
      </c>
      <c r="BN19" s="8">
        <v>0.52100161550888535</v>
      </c>
      <c r="BO19" s="8">
        <v>0.50245098039215685</v>
      </c>
      <c r="BP19" s="8">
        <v>0.51097804391217561</v>
      </c>
      <c r="BQ19" s="8">
        <v>0.45945945945945948</v>
      </c>
      <c r="BR19" s="8">
        <v>0.36029411764705882</v>
      </c>
      <c r="BS19" s="8">
        <v>0.41176470588235292</v>
      </c>
      <c r="BT19" s="8">
        <v>0.38235294117647056</v>
      </c>
      <c r="BU19" s="8">
        <v>0.42307692307692307</v>
      </c>
      <c r="BV19">
        <v>27028</v>
      </c>
      <c r="BW19">
        <v>17036</v>
      </c>
      <c r="BX19" s="8">
        <v>0.6303093088648809</v>
      </c>
      <c r="BZ19" t="s">
        <v>381</v>
      </c>
      <c r="CA19" s="20" t="s">
        <v>52</v>
      </c>
      <c r="CB19" s="8">
        <v>0.98</v>
      </c>
      <c r="CC19" s="8">
        <v>0.96</v>
      </c>
      <c r="CD19" s="8">
        <f t="shared" ref="CD19:CU20" si="24">+AZ19</f>
        <v>0.94495412844036697</v>
      </c>
      <c r="CE19" s="8">
        <f t="shared" si="24"/>
        <v>0.88038277511961727</v>
      </c>
      <c r="CF19" s="8">
        <f t="shared" si="24"/>
        <v>0.8633405639913232</v>
      </c>
      <c r="CG19" s="8">
        <f t="shared" si="24"/>
        <v>0.82377049180327866</v>
      </c>
      <c r="CH19" s="8">
        <f t="shared" si="24"/>
        <v>0.78539682539682543</v>
      </c>
      <c r="CI19" s="8">
        <f t="shared" si="24"/>
        <v>0.72170071783544998</v>
      </c>
      <c r="CJ19" s="8">
        <f t="shared" si="24"/>
        <v>0.70107108081791625</v>
      </c>
      <c r="CK19" s="8">
        <f t="shared" si="24"/>
        <v>0.65345320800980788</v>
      </c>
      <c r="CL19" s="8">
        <f t="shared" si="24"/>
        <v>0.63660477453580899</v>
      </c>
      <c r="CM19" s="8">
        <f t="shared" si="24"/>
        <v>0.61726618705035974</v>
      </c>
      <c r="CN19" s="8">
        <f t="shared" si="24"/>
        <v>0.58691444057297715</v>
      </c>
      <c r="CO19" s="7">
        <f t="shared" si="24"/>
        <v>0.56672091131000812</v>
      </c>
      <c r="CP19" s="7">
        <v>0.55200000000000005</v>
      </c>
      <c r="CQ19" s="7">
        <v>0.53700000000000003</v>
      </c>
      <c r="CR19" s="7">
        <f t="shared" si="24"/>
        <v>0.52100161550888535</v>
      </c>
      <c r="CS19" s="7">
        <f t="shared" si="24"/>
        <v>0.50245098039215685</v>
      </c>
      <c r="CT19" s="8">
        <v>0.48</v>
      </c>
      <c r="CU19" s="8">
        <f t="shared" si="24"/>
        <v>0.45945945945945948</v>
      </c>
      <c r="CV19" s="8">
        <v>0.44</v>
      </c>
      <c r="CW19" s="8">
        <v>0.42</v>
      </c>
      <c r="CX19" s="8">
        <v>0.4</v>
      </c>
      <c r="CY19" s="8">
        <v>0.38</v>
      </c>
      <c r="CZ19" s="7">
        <f>SUMPRODUCT(CB19:CY19,B19:Y19)/SUM(B19:Y19)</f>
        <v>0.6309874204528636</v>
      </c>
      <c r="DA19" s="7">
        <f>BX19</f>
        <v>0.6303093088648809</v>
      </c>
      <c r="DB19" s="60">
        <f t="shared" si="4"/>
        <v>0.5992334351774945</v>
      </c>
      <c r="DC19" s="60">
        <f t="shared" si="5"/>
        <v>0.73502304147465436</v>
      </c>
      <c r="DE19" s="20" t="s">
        <v>52</v>
      </c>
      <c r="DF19" s="8">
        <f>MIN(0.98,CB19*$EF19)</f>
        <v>0.98</v>
      </c>
      <c r="DG19" s="8">
        <f t="shared" ref="DG19:EC19" si="25">MIN(0.98,CC19*$EF19)</f>
        <v>0.98</v>
      </c>
      <c r="DH19" s="8">
        <f t="shared" si="25"/>
        <v>0.98</v>
      </c>
      <c r="DI19" s="8">
        <f t="shared" si="25"/>
        <v>0.98</v>
      </c>
      <c r="DJ19" s="8">
        <f t="shared" si="25"/>
        <v>0.98</v>
      </c>
      <c r="DK19" s="8">
        <f t="shared" si="25"/>
        <v>0.98</v>
      </c>
      <c r="DL19" s="8">
        <f t="shared" si="25"/>
        <v>0.98</v>
      </c>
      <c r="DM19" s="8">
        <f t="shared" si="25"/>
        <v>0.90077531579771519</v>
      </c>
      <c r="DN19" s="8">
        <f t="shared" si="25"/>
        <v>0.87502687556476799</v>
      </c>
      <c r="DO19" s="8">
        <f t="shared" si="25"/>
        <v>0.81559364603302331</v>
      </c>
      <c r="DP19" s="8">
        <f t="shared" si="25"/>
        <v>0.79456463413352496</v>
      </c>
      <c r="DQ19" s="8">
        <f t="shared" si="25"/>
        <v>0.7704275897620948</v>
      </c>
      <c r="DR19" s="8">
        <f t="shared" si="25"/>
        <v>0.73254470653568493</v>
      </c>
      <c r="DS19" s="8">
        <f t="shared" si="25"/>
        <v>0.70734058486946727</v>
      </c>
      <c r="DT19" s="8">
        <f t="shared" si="25"/>
        <v>0.68896699425717955</v>
      </c>
      <c r="DU19" s="8">
        <f t="shared" si="25"/>
        <v>0.67024506506540837</v>
      </c>
      <c r="DV19" s="8">
        <f t="shared" si="25"/>
        <v>0.65027702362371642</v>
      </c>
      <c r="DW19" s="8">
        <f t="shared" si="25"/>
        <v>0.62712344514919816</v>
      </c>
      <c r="DX19" s="8">
        <f t="shared" si="25"/>
        <v>0.59910173413667778</v>
      </c>
      <c r="DY19" s="8">
        <f t="shared" si="25"/>
        <v>0.5734644977659642</v>
      </c>
      <c r="DZ19" s="8">
        <f t="shared" si="25"/>
        <v>0.54917658962528804</v>
      </c>
      <c r="EA19" s="8">
        <f t="shared" si="25"/>
        <v>0.52421401736959305</v>
      </c>
      <c r="EB19" s="8">
        <f t="shared" si="25"/>
        <v>0.49925144511389824</v>
      </c>
      <c r="EC19" s="8">
        <f t="shared" si="25"/>
        <v>0.47428887285820331</v>
      </c>
      <c r="ED19" s="7">
        <f t="shared" si="12"/>
        <v>0.75641295119922836</v>
      </c>
      <c r="EE19" s="7">
        <f t="shared" si="13"/>
        <v>0.73502304147465436</v>
      </c>
      <c r="EF19" s="6">
        <v>1.2481286127847455</v>
      </c>
    </row>
    <row r="20" spans="1:145">
      <c r="A20" s="20" t="s">
        <v>55</v>
      </c>
      <c r="B20">
        <v>43</v>
      </c>
      <c r="C20">
        <v>66</v>
      </c>
      <c r="D20">
        <v>106</v>
      </c>
      <c r="E20">
        <v>212</v>
      </c>
      <c r="F20">
        <v>458</v>
      </c>
      <c r="G20">
        <v>876</v>
      </c>
      <c r="H20">
        <v>1517</v>
      </c>
      <c r="I20">
        <v>1741</v>
      </c>
      <c r="J20">
        <v>1974</v>
      </c>
      <c r="K20">
        <v>2399</v>
      </c>
      <c r="L20">
        <v>2463</v>
      </c>
      <c r="M20">
        <v>2619</v>
      </c>
      <c r="N20">
        <v>2555</v>
      </c>
      <c r="O20">
        <v>2230</v>
      </c>
      <c r="P20">
        <v>1952</v>
      </c>
      <c r="Q20">
        <v>1563</v>
      </c>
      <c r="R20">
        <v>1166</v>
      </c>
      <c r="S20">
        <v>795</v>
      </c>
      <c r="T20">
        <v>513</v>
      </c>
      <c r="U20">
        <v>238</v>
      </c>
      <c r="V20">
        <v>121</v>
      </c>
      <c r="W20">
        <v>59</v>
      </c>
      <c r="X20">
        <v>28</v>
      </c>
      <c r="Y20">
        <v>15</v>
      </c>
      <c r="Z20">
        <v>26</v>
      </c>
      <c r="AA20">
        <v>43</v>
      </c>
      <c r="AB20">
        <v>61</v>
      </c>
      <c r="AC20">
        <v>117</v>
      </c>
      <c r="AD20">
        <v>226</v>
      </c>
      <c r="AE20">
        <v>434</v>
      </c>
      <c r="AF20">
        <v>763</v>
      </c>
      <c r="AG20">
        <v>805</v>
      </c>
      <c r="AH20">
        <v>890</v>
      </c>
      <c r="AI20">
        <v>1023</v>
      </c>
      <c r="AJ20">
        <v>999</v>
      </c>
      <c r="AK20">
        <v>996</v>
      </c>
      <c r="AL20">
        <v>952</v>
      </c>
      <c r="AM20">
        <v>856</v>
      </c>
      <c r="AN20">
        <v>739</v>
      </c>
      <c r="AO20">
        <v>566</v>
      </c>
      <c r="AP20">
        <v>425</v>
      </c>
      <c r="AQ20">
        <v>320</v>
      </c>
      <c r="AR20">
        <v>191</v>
      </c>
      <c r="AS20">
        <v>85</v>
      </c>
      <c r="AT20">
        <v>38</v>
      </c>
      <c r="AU20">
        <v>20</v>
      </c>
      <c r="AV20">
        <v>6</v>
      </c>
      <c r="AW20">
        <v>3</v>
      </c>
      <c r="AX20" s="8">
        <v>0.60465116279069764</v>
      </c>
      <c r="AY20" s="8">
        <v>0.65151515151515149</v>
      </c>
      <c r="AZ20" s="8">
        <v>0.57547169811320753</v>
      </c>
      <c r="BA20" s="8">
        <v>0.55188679245283023</v>
      </c>
      <c r="BB20" s="8">
        <v>0.49344978165938863</v>
      </c>
      <c r="BC20" s="8">
        <v>0.4954337899543379</v>
      </c>
      <c r="BD20" s="8">
        <v>0.50296638101516156</v>
      </c>
      <c r="BE20" s="8">
        <v>0.46237794371051122</v>
      </c>
      <c r="BF20" s="8">
        <v>0.45086119554204662</v>
      </c>
      <c r="BG20" s="8">
        <v>0.4264276781992497</v>
      </c>
      <c r="BH20" s="8">
        <v>0.4056029232643118</v>
      </c>
      <c r="BI20" s="8">
        <v>0.38029782359679265</v>
      </c>
      <c r="BJ20" s="8">
        <v>0.37260273972602742</v>
      </c>
      <c r="BK20" s="8">
        <v>0.38385650224215245</v>
      </c>
      <c r="BL20" s="8">
        <v>0.3785860655737705</v>
      </c>
      <c r="BM20" s="8">
        <v>0.36212412028150992</v>
      </c>
      <c r="BN20" s="8">
        <v>0.36449399656946829</v>
      </c>
      <c r="BO20" s="8">
        <v>0.40251572327044027</v>
      </c>
      <c r="BP20" s="8">
        <v>0.37231968810916177</v>
      </c>
      <c r="BQ20" s="8">
        <v>0.35714285714285715</v>
      </c>
      <c r="BR20" s="8">
        <v>0.31404958677685951</v>
      </c>
      <c r="BS20" s="8">
        <v>0.33898305084745761</v>
      </c>
      <c r="BT20" s="8">
        <v>0.21428571428571427</v>
      </c>
      <c r="BU20" s="8">
        <v>0.2</v>
      </c>
      <c r="BV20">
        <v>25709</v>
      </c>
      <c r="BW20">
        <v>10584</v>
      </c>
      <c r="BX20" s="8">
        <v>0.41168462406161266</v>
      </c>
      <c r="BZ20" t="s">
        <v>385</v>
      </c>
      <c r="CA20" s="20" t="s">
        <v>55</v>
      </c>
      <c r="CB20" s="61">
        <v>0.62</v>
      </c>
      <c r="CC20" s="8">
        <v>0.6</v>
      </c>
      <c r="CD20" s="8">
        <f t="shared" si="24"/>
        <v>0.57547169811320753</v>
      </c>
      <c r="CE20" s="7">
        <f t="shared" si="24"/>
        <v>0.55188679245283023</v>
      </c>
      <c r="CF20" s="7">
        <f t="shared" si="24"/>
        <v>0.49344978165938863</v>
      </c>
      <c r="CG20" s="7">
        <v>0.48</v>
      </c>
      <c r="CH20" s="7">
        <v>0.47</v>
      </c>
      <c r="CI20" s="7">
        <f t="shared" si="24"/>
        <v>0.46237794371051122</v>
      </c>
      <c r="CJ20" s="7">
        <f t="shared" si="24"/>
        <v>0.45086119554204662</v>
      </c>
      <c r="CK20" s="8">
        <f t="shared" si="24"/>
        <v>0.4264276781992497</v>
      </c>
      <c r="CL20" s="8">
        <f t="shared" si="24"/>
        <v>0.4056029232643118</v>
      </c>
      <c r="CM20" s="7">
        <f>CL20-0.5%</f>
        <v>0.40060292326431179</v>
      </c>
      <c r="CN20" s="7">
        <f t="shared" ref="CN20:CT20" si="26">CM20-0.5%</f>
        <v>0.39560292326431179</v>
      </c>
      <c r="CO20" s="7">
        <f t="shared" si="26"/>
        <v>0.39060292326431179</v>
      </c>
      <c r="CP20" s="7">
        <f t="shared" si="26"/>
        <v>0.38560292326431178</v>
      </c>
      <c r="CQ20" s="7">
        <f t="shared" si="26"/>
        <v>0.38060292326431178</v>
      </c>
      <c r="CR20" s="7">
        <f t="shared" si="26"/>
        <v>0.37560292326431177</v>
      </c>
      <c r="CS20" s="7">
        <f t="shared" si="26"/>
        <v>0.37060292326431177</v>
      </c>
      <c r="CT20" s="7">
        <f t="shared" si="26"/>
        <v>0.36560292326431176</v>
      </c>
      <c r="CU20" s="7">
        <f t="shared" si="24"/>
        <v>0.35714285714285715</v>
      </c>
      <c r="CV20" s="8">
        <v>0.34</v>
      </c>
      <c r="CW20" s="8">
        <v>0.33</v>
      </c>
      <c r="CX20" s="8">
        <v>0.32</v>
      </c>
      <c r="CY20" s="8">
        <v>0.31</v>
      </c>
      <c r="CZ20" s="7">
        <f>SUMPRODUCT(CB20:CY20,B20:Y20)/SUM(B20:Y20)</f>
        <v>0.41536640675556902</v>
      </c>
      <c r="DA20" s="7">
        <f>BX20</f>
        <v>0.41168462406161266</v>
      </c>
      <c r="DB20" s="60">
        <f t="shared" si="4"/>
        <v>0.40543891854302705</v>
      </c>
      <c r="DC20" s="60">
        <f t="shared" si="5"/>
        <v>0.40875912408759124</v>
      </c>
      <c r="DE20" s="20" t="s">
        <v>55</v>
      </c>
      <c r="DF20" s="8">
        <f t="shared" ref="DF20:DO21" si="27">CB20*$EF20</f>
        <v>0.6315755736449199</v>
      </c>
      <c r="DG20" s="8">
        <f t="shared" si="27"/>
        <v>0.61120216804347083</v>
      </c>
      <c r="DH20" s="8">
        <f t="shared" si="27"/>
        <v>0.58621591589075028</v>
      </c>
      <c r="DI20" s="8">
        <f t="shared" si="27"/>
        <v>0.56219067343621143</v>
      </c>
      <c r="DJ20" s="8">
        <f t="shared" si="27"/>
        <v>0.50266262728465938</v>
      </c>
      <c r="DK20" s="8">
        <f t="shared" si="27"/>
        <v>0.48896173443477664</v>
      </c>
      <c r="DL20" s="8">
        <f t="shared" si="27"/>
        <v>0.47877503163405216</v>
      </c>
      <c r="DM20" s="8">
        <f t="shared" si="27"/>
        <v>0.47101066941891062</v>
      </c>
      <c r="DN20" s="8">
        <f t="shared" si="27"/>
        <v>0.45927890033661689</v>
      </c>
      <c r="DO20" s="8">
        <f t="shared" si="27"/>
        <v>0.43438920238187489</v>
      </c>
      <c r="DP20" s="8">
        <f t="shared" ref="DP20:DY21" si="28">CL20*$EF20</f>
        <v>0.41317564343986152</v>
      </c>
      <c r="DQ20" s="8">
        <f t="shared" si="28"/>
        <v>0.40808229203949925</v>
      </c>
      <c r="DR20" s="8">
        <f t="shared" si="28"/>
        <v>0.40298894063913698</v>
      </c>
      <c r="DS20" s="8">
        <f t="shared" si="28"/>
        <v>0.39789558923877472</v>
      </c>
      <c r="DT20" s="8">
        <f t="shared" si="28"/>
        <v>0.39280223783841245</v>
      </c>
      <c r="DU20" s="8">
        <f t="shared" si="28"/>
        <v>0.38770888643805024</v>
      </c>
      <c r="DV20" s="8">
        <f t="shared" si="28"/>
        <v>0.38261553503768797</v>
      </c>
      <c r="DW20" s="8">
        <f t="shared" si="28"/>
        <v>0.3775221836373257</v>
      </c>
      <c r="DX20" s="8">
        <f t="shared" si="28"/>
        <v>0.37242883223696344</v>
      </c>
      <c r="DY20" s="8">
        <f t="shared" si="28"/>
        <v>0.36381081431158979</v>
      </c>
      <c r="DZ20" s="8">
        <f t="shared" ref="DZ20:EC21" si="29">CV20*$EF20</f>
        <v>0.3463478952246335</v>
      </c>
      <c r="EA20" s="8">
        <f t="shared" si="29"/>
        <v>0.33616119242390896</v>
      </c>
      <c r="EB20" s="8">
        <f t="shared" si="29"/>
        <v>0.32597448962318448</v>
      </c>
      <c r="EC20" s="8">
        <f t="shared" si="29"/>
        <v>0.31578778682245995</v>
      </c>
      <c r="ED20" s="7">
        <f t="shared" si="12"/>
        <v>0.41247074248405474</v>
      </c>
      <c r="EE20" s="7">
        <f t="shared" si="13"/>
        <v>0.40875912408759124</v>
      </c>
      <c r="EF20" s="6">
        <v>1.0186702800724514</v>
      </c>
      <c r="EJ20" t="s">
        <v>440</v>
      </c>
      <c r="EK20" t="s">
        <v>441</v>
      </c>
      <c r="EL20" t="s">
        <v>443</v>
      </c>
      <c r="EM20" t="s">
        <v>442</v>
      </c>
    </row>
    <row r="21" spans="1:145">
      <c r="A21" s="20" t="s">
        <v>46</v>
      </c>
      <c r="B21">
        <v>172</v>
      </c>
      <c r="C21">
        <v>262</v>
      </c>
      <c r="D21">
        <v>440</v>
      </c>
      <c r="E21">
        <v>864</v>
      </c>
      <c r="F21">
        <v>1705</v>
      </c>
      <c r="G21">
        <v>3656</v>
      </c>
      <c r="H21">
        <v>6021</v>
      </c>
      <c r="I21">
        <v>7252</v>
      </c>
      <c r="J21">
        <v>8477</v>
      </c>
      <c r="K21">
        <v>9835</v>
      </c>
      <c r="L21">
        <v>10772</v>
      </c>
      <c r="M21">
        <v>11313</v>
      </c>
      <c r="N21">
        <v>10953</v>
      </c>
      <c r="O21">
        <v>10116</v>
      </c>
      <c r="P21">
        <v>8929</v>
      </c>
      <c r="Q21">
        <v>7201</v>
      </c>
      <c r="R21">
        <v>5335</v>
      </c>
      <c r="S21">
        <v>3645</v>
      </c>
      <c r="T21">
        <v>2149</v>
      </c>
      <c r="U21">
        <v>1060</v>
      </c>
      <c r="V21">
        <v>564</v>
      </c>
      <c r="W21">
        <v>295</v>
      </c>
      <c r="X21">
        <v>145</v>
      </c>
      <c r="Y21">
        <v>83</v>
      </c>
      <c r="Z21">
        <v>127</v>
      </c>
      <c r="AA21">
        <v>189</v>
      </c>
      <c r="AB21">
        <v>302</v>
      </c>
      <c r="AC21">
        <v>558</v>
      </c>
      <c r="AD21">
        <v>994</v>
      </c>
      <c r="AE21">
        <v>2001</v>
      </c>
      <c r="AF21">
        <v>3112</v>
      </c>
      <c r="AG21">
        <v>3561</v>
      </c>
      <c r="AH21">
        <v>3692</v>
      </c>
      <c r="AI21">
        <v>3931</v>
      </c>
      <c r="AJ21">
        <v>4068</v>
      </c>
      <c r="AK21">
        <v>3908</v>
      </c>
      <c r="AL21">
        <v>3681</v>
      </c>
      <c r="AM21">
        <v>3130</v>
      </c>
      <c r="AN21">
        <v>2684</v>
      </c>
      <c r="AO21">
        <v>2077</v>
      </c>
      <c r="AP21">
        <v>1472</v>
      </c>
      <c r="AQ21">
        <v>947</v>
      </c>
      <c r="AR21">
        <v>572</v>
      </c>
      <c r="AS21">
        <v>247</v>
      </c>
      <c r="AT21">
        <v>137</v>
      </c>
      <c r="AU21">
        <v>60</v>
      </c>
      <c r="AV21">
        <v>28</v>
      </c>
      <c r="AW21">
        <v>13</v>
      </c>
      <c r="AX21" s="8">
        <v>0.73837209302325579</v>
      </c>
      <c r="AY21" s="8">
        <v>0.72137404580152675</v>
      </c>
      <c r="AZ21" s="8">
        <v>0.6863636363636364</v>
      </c>
      <c r="BA21" s="8">
        <v>0.64583333333333337</v>
      </c>
      <c r="BB21" s="8">
        <v>0.58299120234604107</v>
      </c>
      <c r="BC21" s="8">
        <v>0.54731947483588617</v>
      </c>
      <c r="BD21" s="8">
        <v>0.51685766483972762</v>
      </c>
      <c r="BE21" s="8">
        <v>0.49103695532266961</v>
      </c>
      <c r="BF21" s="8">
        <v>0.43553143800872951</v>
      </c>
      <c r="BG21" s="8">
        <v>0.39969496695475343</v>
      </c>
      <c r="BH21" s="8">
        <v>0.37764574823616787</v>
      </c>
      <c r="BI21" s="8">
        <v>0.34544329532396356</v>
      </c>
      <c r="BJ21" s="8">
        <v>0.33607230895645029</v>
      </c>
      <c r="BK21" s="8">
        <v>0.30941083432186633</v>
      </c>
      <c r="BL21" s="8">
        <v>0.30059357150856758</v>
      </c>
      <c r="BM21" s="8">
        <v>0.28843216219969448</v>
      </c>
      <c r="BN21" s="8">
        <v>0.27591377694470476</v>
      </c>
      <c r="BO21" s="8">
        <v>0.25980795610425239</v>
      </c>
      <c r="BP21" s="8">
        <v>0.26617031177291761</v>
      </c>
      <c r="BQ21" s="8">
        <v>0.23301886792452831</v>
      </c>
      <c r="BR21" s="8">
        <v>0.24290780141843971</v>
      </c>
      <c r="BS21" s="8">
        <v>0.20338983050847459</v>
      </c>
      <c r="BT21" s="8">
        <v>0.19310344827586207</v>
      </c>
      <c r="BU21" s="8">
        <v>0.15662650602409639</v>
      </c>
      <c r="BV21">
        <v>111244</v>
      </c>
      <c r="BW21">
        <v>41491</v>
      </c>
      <c r="BX21" s="8">
        <v>0.37297292438243862</v>
      </c>
      <c r="BZ21" t="s">
        <v>382</v>
      </c>
      <c r="CA21" s="20" t="s">
        <v>46</v>
      </c>
      <c r="CB21" s="60">
        <f>CB28</f>
        <v>0.7652484013772749</v>
      </c>
      <c r="CC21" s="60">
        <f t="shared" ref="CC21:CY21" si="30">CC28</f>
        <v>0.75070741369552918</v>
      </c>
      <c r="CD21" s="60">
        <f t="shared" si="30"/>
        <v>0.72152608463372514</v>
      </c>
      <c r="CE21" s="60">
        <f t="shared" si="30"/>
        <v>0.68786433748418818</v>
      </c>
      <c r="CF21" s="60">
        <f t="shared" si="30"/>
        <v>0.63549691231008787</v>
      </c>
      <c r="CG21" s="60">
        <f t="shared" si="30"/>
        <v>0.60278949214423039</v>
      </c>
      <c r="CH21" s="60">
        <f t="shared" si="30"/>
        <v>0.57340648825739304</v>
      </c>
      <c r="CI21" s="60">
        <f t="shared" si="30"/>
        <v>0.54917265569818485</v>
      </c>
      <c r="CJ21" s="60">
        <f t="shared" si="30"/>
        <v>0.50104174508604749</v>
      </c>
      <c r="CK21" s="60">
        <f t="shared" si="30"/>
        <v>0.46636191645639397</v>
      </c>
      <c r="CL21" s="60">
        <f t="shared" si="30"/>
        <v>0.44256220476889707</v>
      </c>
      <c r="CM21" s="60">
        <f t="shared" si="30"/>
        <v>0.41449828034736624</v>
      </c>
      <c r="CN21" s="60">
        <f t="shared" si="30"/>
        <v>0.40497127049279663</v>
      </c>
      <c r="CO21" s="60">
        <f t="shared" si="30"/>
        <v>0.37820814805343639</v>
      </c>
      <c r="CP21" s="60">
        <f t="shared" si="30"/>
        <v>0.36900364752764425</v>
      </c>
      <c r="CQ21" s="60">
        <f t="shared" si="30"/>
        <v>0.3596353326068365</v>
      </c>
      <c r="CR21" s="60">
        <f t="shared" si="30"/>
        <v>0.34923066724404794</v>
      </c>
      <c r="CS21" s="60">
        <f t="shared" si="30"/>
        <v>0.34</v>
      </c>
      <c r="CT21" s="60">
        <f t="shared" si="30"/>
        <v>0.33</v>
      </c>
      <c r="CU21" s="60">
        <f t="shared" si="30"/>
        <v>0.32</v>
      </c>
      <c r="CV21" s="60">
        <f t="shared" si="30"/>
        <v>0.3</v>
      </c>
      <c r="CW21" s="60">
        <f t="shared" si="30"/>
        <v>0.27608010906868508</v>
      </c>
      <c r="CX21" s="60">
        <f t="shared" si="30"/>
        <v>0.25813980627844557</v>
      </c>
      <c r="CY21" s="60">
        <f t="shared" si="30"/>
        <v>0.21667650665334484</v>
      </c>
      <c r="CZ21" s="7">
        <f>SUMPRODUCT(CB21:CY21,B21:Y21)/SUM(B21:Y21)</f>
        <v>0.4391791032945585</v>
      </c>
      <c r="DB21" s="60">
        <f>SUMPRODUCT(CB21:CY21,B45:Y45)/SUM(B45:Y45)</f>
        <v>0.41080440390310541</v>
      </c>
      <c r="DC21" s="60">
        <f>+DB21-0.08</f>
        <v>0.33080440390310539</v>
      </c>
      <c r="DE21" s="20" t="s">
        <v>46</v>
      </c>
      <c r="DF21" s="8">
        <f t="shared" si="27"/>
        <v>0.79168810005928703</v>
      </c>
      <c r="DG21" s="8">
        <f t="shared" si="27"/>
        <v>0.77664471429065574</v>
      </c>
      <c r="DH21" s="8">
        <f t="shared" si="27"/>
        <v>0.74645515633723147</v>
      </c>
      <c r="DI21" s="8">
        <f t="shared" si="27"/>
        <v>0.71163037970583998</v>
      </c>
      <c r="DJ21" s="8">
        <f t="shared" si="27"/>
        <v>0.65745363491752795</v>
      </c>
      <c r="DK21" s="8">
        <f t="shared" si="27"/>
        <v>0.62361615772405066</v>
      </c>
      <c r="DL21" s="8">
        <f t="shared" si="27"/>
        <v>0.59321795698382274</v>
      </c>
      <c r="DM21" s="8">
        <f t="shared" si="27"/>
        <v>0.56814683390610765</v>
      </c>
      <c r="DN21" s="8">
        <f t="shared" si="27"/>
        <v>0.51835297728639229</v>
      </c>
      <c r="DO21" s="8">
        <f t="shared" si="27"/>
        <v>0.48247494397227081</v>
      </c>
      <c r="DP21" s="8">
        <f t="shared" si="28"/>
        <v>0.4578529408502493</v>
      </c>
      <c r="DQ21" s="8">
        <f t="shared" si="28"/>
        <v>0.42881939440245276</v>
      </c>
      <c r="DR21" s="8">
        <f t="shared" si="28"/>
        <v>0.41896322179570744</v>
      </c>
      <c r="DS21" s="8">
        <f t="shared" si="28"/>
        <v>0.39127542066141241</v>
      </c>
      <c r="DT21" s="8">
        <f t="shared" si="28"/>
        <v>0.381752900235177</v>
      </c>
      <c r="DU21" s="8">
        <f t="shared" si="28"/>
        <v>0.37206090554814097</v>
      </c>
      <c r="DV21" s="8">
        <f t="shared" si="28"/>
        <v>0.36129675401513084</v>
      </c>
      <c r="DW21" s="8">
        <f t="shared" si="28"/>
        <v>0.35174716279799484</v>
      </c>
      <c r="DX21" s="8">
        <f t="shared" si="28"/>
        <v>0.34140165800981853</v>
      </c>
      <c r="DY21" s="8">
        <f t="shared" si="28"/>
        <v>0.33105615322164222</v>
      </c>
      <c r="DZ21" s="8">
        <f t="shared" si="29"/>
        <v>0.31036514364528955</v>
      </c>
      <c r="EA21" s="8">
        <f t="shared" si="29"/>
        <v>0.28561880902903219</v>
      </c>
      <c r="EB21" s="8">
        <f t="shared" si="29"/>
        <v>0.2670586601872566</v>
      </c>
      <c r="EC21" s="8">
        <f t="shared" si="29"/>
        <v>0.22416278370674969</v>
      </c>
      <c r="ED21" s="7">
        <f t="shared" si="12"/>
        <v>0.43832752692839233</v>
      </c>
      <c r="EE21" s="247">
        <v>0.42499999999999999</v>
      </c>
      <c r="EF21" s="6">
        <v>1.0345504788176318</v>
      </c>
      <c r="EG21">
        <f>+EE21/ED21*EF21</f>
        <v>1.0030945502752393</v>
      </c>
      <c r="EH21" s="6">
        <f>EF21/EG21</f>
        <v>1.0313588868903349</v>
      </c>
      <c r="EJ21" s="7">
        <f>CZ21</f>
        <v>0.4391791032945585</v>
      </c>
      <c r="EK21" s="7">
        <f>ED21</f>
        <v>0.43832752692839233</v>
      </c>
      <c r="EL21">
        <f>SUM(B21:Y21)</f>
        <v>111244</v>
      </c>
      <c r="EM21">
        <f>SUM(Z21:AW21)</f>
        <v>41491</v>
      </c>
      <c r="EN21" s="6">
        <f>(EL21+EL22-EN22)</f>
        <v>94448.787980540044</v>
      </c>
      <c r="EO21" s="6">
        <f>(EM21+EM22-EO22)</f>
        <v>10209.596389019054</v>
      </c>
    </row>
    <row r="22" spans="1:145">
      <c r="A22" s="20" t="s">
        <v>44</v>
      </c>
      <c r="B22">
        <v>56</v>
      </c>
      <c r="C22">
        <v>80</v>
      </c>
      <c r="D22">
        <v>129</v>
      </c>
      <c r="E22">
        <v>249</v>
      </c>
      <c r="F22">
        <v>487</v>
      </c>
      <c r="G22">
        <v>968</v>
      </c>
      <c r="H22">
        <v>1463</v>
      </c>
      <c r="I22">
        <v>1685</v>
      </c>
      <c r="J22">
        <v>1998</v>
      </c>
      <c r="K22">
        <v>2190</v>
      </c>
      <c r="L22">
        <v>2217</v>
      </c>
      <c r="M22">
        <v>2398</v>
      </c>
      <c r="N22">
        <v>2283</v>
      </c>
      <c r="O22">
        <v>2034</v>
      </c>
      <c r="P22">
        <v>1765</v>
      </c>
      <c r="Q22">
        <v>1484</v>
      </c>
      <c r="R22">
        <v>1132</v>
      </c>
      <c r="S22">
        <v>753</v>
      </c>
      <c r="T22">
        <v>438</v>
      </c>
      <c r="U22">
        <v>223</v>
      </c>
      <c r="V22">
        <v>125</v>
      </c>
      <c r="W22">
        <v>61</v>
      </c>
      <c r="X22">
        <v>26</v>
      </c>
      <c r="Y22">
        <v>14</v>
      </c>
      <c r="Z22">
        <v>56</v>
      </c>
      <c r="AA22">
        <v>80</v>
      </c>
      <c r="AB22">
        <v>129</v>
      </c>
      <c r="AC22">
        <v>249</v>
      </c>
      <c r="AD22">
        <v>487</v>
      </c>
      <c r="AE22">
        <v>968</v>
      </c>
      <c r="AF22">
        <v>1463</v>
      </c>
      <c r="AG22">
        <v>1685</v>
      </c>
      <c r="AH22">
        <v>1998</v>
      </c>
      <c r="AI22">
        <v>2190</v>
      </c>
      <c r="AJ22">
        <v>2217</v>
      </c>
      <c r="AK22">
        <v>2398</v>
      </c>
      <c r="AL22">
        <v>2283</v>
      </c>
      <c r="AM22">
        <v>2034</v>
      </c>
      <c r="AN22">
        <v>1765</v>
      </c>
      <c r="AO22">
        <v>1484</v>
      </c>
      <c r="AP22">
        <v>1132</v>
      </c>
      <c r="AQ22">
        <v>753</v>
      </c>
      <c r="AR22">
        <v>438</v>
      </c>
      <c r="AS22">
        <v>223</v>
      </c>
      <c r="AT22">
        <v>125</v>
      </c>
      <c r="AU22">
        <v>61</v>
      </c>
      <c r="AV22">
        <v>26</v>
      </c>
      <c r="AW22">
        <v>14</v>
      </c>
      <c r="AX22" s="8">
        <v>1</v>
      </c>
      <c r="AY22" s="8">
        <v>1</v>
      </c>
      <c r="AZ22" s="8">
        <v>1</v>
      </c>
      <c r="BA22" s="8">
        <v>1</v>
      </c>
      <c r="BB22" s="8">
        <v>1</v>
      </c>
      <c r="BC22" s="8">
        <v>1</v>
      </c>
      <c r="BD22" s="8">
        <v>1</v>
      </c>
      <c r="BE22" s="8">
        <v>1</v>
      </c>
      <c r="BF22" s="8">
        <v>1</v>
      </c>
      <c r="BG22" s="8">
        <v>1</v>
      </c>
      <c r="BH22" s="8">
        <v>1</v>
      </c>
      <c r="BI22" s="8">
        <v>1</v>
      </c>
      <c r="BJ22" s="8">
        <v>1</v>
      </c>
      <c r="BK22" s="8">
        <v>1</v>
      </c>
      <c r="BL22" s="8">
        <v>1</v>
      </c>
      <c r="BM22" s="8">
        <v>1</v>
      </c>
      <c r="BN22" s="8">
        <v>1</v>
      </c>
      <c r="BO22" s="8">
        <v>1</v>
      </c>
      <c r="BP22" s="8">
        <v>1</v>
      </c>
      <c r="BQ22" s="8">
        <v>1</v>
      </c>
      <c r="BR22" s="8">
        <v>1</v>
      </c>
      <c r="BS22" s="8">
        <v>1</v>
      </c>
      <c r="BT22" s="8">
        <v>1</v>
      </c>
      <c r="BU22" s="8">
        <v>1</v>
      </c>
      <c r="BV22">
        <v>24258</v>
      </c>
      <c r="BW22">
        <v>24258</v>
      </c>
      <c r="BX22" s="8">
        <v>1</v>
      </c>
      <c r="BZ22" t="s">
        <v>383</v>
      </c>
      <c r="CA22" s="20" t="s">
        <v>44</v>
      </c>
      <c r="CB22" s="60">
        <f>CB26</f>
        <v>0.90263157894736845</v>
      </c>
      <c r="CC22" s="60">
        <f t="shared" ref="CC22:CY22" si="31">CC26</f>
        <v>0.8865497076023392</v>
      </c>
      <c r="CD22" s="60">
        <f t="shared" si="31"/>
        <v>0.85746924428822491</v>
      </c>
      <c r="CE22" s="60">
        <f t="shared" si="31"/>
        <v>0.82506738544474389</v>
      </c>
      <c r="CF22" s="60">
        <f t="shared" si="31"/>
        <v>0.77563868613138687</v>
      </c>
      <c r="CG22" s="60">
        <f t="shared" si="31"/>
        <v>0.74208477508650517</v>
      </c>
      <c r="CH22" s="60">
        <f t="shared" si="31"/>
        <v>0.71130411544628536</v>
      </c>
      <c r="CI22" s="60">
        <f t="shared" si="31"/>
        <v>0.68699787400693746</v>
      </c>
      <c r="CJ22" s="60">
        <f t="shared" si="31"/>
        <v>0.64319809069212408</v>
      </c>
      <c r="CK22" s="60">
        <f t="shared" si="31"/>
        <v>0.60902286902286895</v>
      </c>
      <c r="CL22" s="60">
        <f t="shared" si="31"/>
        <v>0.58387096774193548</v>
      </c>
      <c r="CM22" s="60">
        <f t="shared" si="31"/>
        <v>0.5599226898111006</v>
      </c>
      <c r="CN22" s="60">
        <f t="shared" si="31"/>
        <v>0.55058930190389843</v>
      </c>
      <c r="CO22" s="60">
        <f t="shared" si="31"/>
        <v>0.52502057613168729</v>
      </c>
      <c r="CP22" s="60">
        <f t="shared" si="31"/>
        <v>0.51602767907237701</v>
      </c>
      <c r="CQ22" s="60">
        <f t="shared" si="31"/>
        <v>0.51001727115716755</v>
      </c>
      <c r="CR22" s="60">
        <f t="shared" si="31"/>
        <v>0.50265965671872581</v>
      </c>
      <c r="CS22" s="60">
        <f t="shared" si="31"/>
        <v>0.49</v>
      </c>
      <c r="CT22" s="60">
        <f t="shared" si="31"/>
        <v>0.48</v>
      </c>
      <c r="CU22" s="60">
        <f t="shared" si="31"/>
        <v>0.47</v>
      </c>
      <c r="CV22" s="60">
        <f t="shared" si="31"/>
        <v>0.46</v>
      </c>
      <c r="CW22" s="60">
        <f t="shared" si="31"/>
        <v>0.43988764044943818</v>
      </c>
      <c r="CX22" s="60">
        <f t="shared" si="31"/>
        <v>0.41578947368421049</v>
      </c>
      <c r="CY22" s="60">
        <f t="shared" si="31"/>
        <v>0.37835051546391751</v>
      </c>
      <c r="CZ22" s="7">
        <f>SUMPRODUCT(CB22:CY22,B22:Y22)/SUM(B22:Y22)</f>
        <v>0.59089164542110051</v>
      </c>
      <c r="DB22" s="60">
        <f>SUMPRODUCT(CB22:CY22,B46:Y46)/SUM(B46:Y46)</f>
        <v>0.56794941323163517</v>
      </c>
      <c r="DC22" s="60">
        <f>+DB22-0.08</f>
        <v>0.48794941323163515</v>
      </c>
      <c r="DE22" s="20" t="s">
        <v>44</v>
      </c>
      <c r="DF22" s="8">
        <f>DF21</f>
        <v>0.79168810005928703</v>
      </c>
      <c r="DG22" s="8">
        <f t="shared" ref="DG22:EC22" si="32">DG21</f>
        <v>0.77664471429065574</v>
      </c>
      <c r="DH22" s="8">
        <f t="shared" si="32"/>
        <v>0.74645515633723147</v>
      </c>
      <c r="DI22" s="8">
        <f t="shared" si="32"/>
        <v>0.71163037970583998</v>
      </c>
      <c r="DJ22" s="8">
        <f t="shared" si="32"/>
        <v>0.65745363491752795</v>
      </c>
      <c r="DK22" s="8">
        <f t="shared" si="32"/>
        <v>0.62361615772405066</v>
      </c>
      <c r="DL22" s="8">
        <f t="shared" si="32"/>
        <v>0.59321795698382274</v>
      </c>
      <c r="DM22" s="8">
        <f t="shared" si="32"/>
        <v>0.56814683390610765</v>
      </c>
      <c r="DN22" s="8">
        <f t="shared" si="32"/>
        <v>0.51835297728639229</v>
      </c>
      <c r="DO22" s="8">
        <f t="shared" si="32"/>
        <v>0.48247494397227081</v>
      </c>
      <c r="DP22" s="8">
        <f t="shared" si="32"/>
        <v>0.4578529408502493</v>
      </c>
      <c r="DQ22" s="8">
        <f t="shared" si="32"/>
        <v>0.42881939440245276</v>
      </c>
      <c r="DR22" s="8">
        <f t="shared" si="32"/>
        <v>0.41896322179570744</v>
      </c>
      <c r="DS22" s="8">
        <f t="shared" si="32"/>
        <v>0.39127542066141241</v>
      </c>
      <c r="DT22" s="8">
        <f t="shared" si="32"/>
        <v>0.381752900235177</v>
      </c>
      <c r="DU22" s="8">
        <f t="shared" si="32"/>
        <v>0.37206090554814097</v>
      </c>
      <c r="DV22" s="8">
        <f t="shared" si="32"/>
        <v>0.36129675401513084</v>
      </c>
      <c r="DW22" s="8">
        <f t="shared" si="32"/>
        <v>0.35174716279799484</v>
      </c>
      <c r="DX22" s="8">
        <f t="shared" si="32"/>
        <v>0.34140165800981853</v>
      </c>
      <c r="DY22" s="8">
        <f t="shared" si="32"/>
        <v>0.33105615322164222</v>
      </c>
      <c r="DZ22" s="8">
        <f t="shared" si="32"/>
        <v>0.31036514364528955</v>
      </c>
      <c r="EA22" s="8">
        <f t="shared" si="32"/>
        <v>0.28561880902903219</v>
      </c>
      <c r="EB22" s="8">
        <f t="shared" si="32"/>
        <v>0.2670586601872566</v>
      </c>
      <c r="EC22" s="8">
        <f t="shared" si="32"/>
        <v>0.22416278370674969</v>
      </c>
      <c r="ED22" s="7">
        <f t="shared" si="12"/>
        <v>0.43677098461323488</v>
      </c>
      <c r="EE22" s="247">
        <v>0.42499999999999999</v>
      </c>
      <c r="EF22" s="6">
        <v>0.748</v>
      </c>
      <c r="EG22">
        <f>+EE22/ED22*EF22</f>
        <v>0.72784138873488502</v>
      </c>
      <c r="EH22" s="6">
        <f>EG22*EF22</f>
        <v>0.54442535877369402</v>
      </c>
      <c r="EJ22" s="7">
        <f>CZ22</f>
        <v>0.59089164542110051</v>
      </c>
      <c r="EK22" s="7">
        <f>ED22</f>
        <v>0.43677098461323488</v>
      </c>
      <c r="EL22">
        <f>SUM(B22:Y22)</f>
        <v>24258</v>
      </c>
      <c r="EM22">
        <f>SUM(Z22:AW22)</f>
        <v>24258</v>
      </c>
      <c r="EN22" s="6">
        <f>EL22/EJ22</f>
        <v>41053.212019459963</v>
      </c>
      <c r="EO22" s="6">
        <f>EM22/EK22</f>
        <v>55539.403610980946</v>
      </c>
    </row>
    <row r="23" spans="1:145">
      <c r="A23" s="21" t="s">
        <v>20</v>
      </c>
      <c r="B23" s="22">
        <v>1157</v>
      </c>
      <c r="C23" s="22">
        <v>1669</v>
      </c>
      <c r="D23" s="22">
        <v>2768</v>
      </c>
      <c r="E23" s="22">
        <v>5031</v>
      </c>
      <c r="F23" s="22">
        <v>10500</v>
      </c>
      <c r="G23" s="22">
        <v>21836</v>
      </c>
      <c r="H23" s="22">
        <v>35860</v>
      </c>
      <c r="I23" s="22">
        <v>42664</v>
      </c>
      <c r="J23" s="22">
        <v>49559</v>
      </c>
      <c r="K23" s="22">
        <v>57196</v>
      </c>
      <c r="L23" s="22">
        <v>61380</v>
      </c>
      <c r="M23" s="22">
        <v>63941</v>
      </c>
      <c r="N23" s="22">
        <v>62419</v>
      </c>
      <c r="O23" s="22">
        <v>57301</v>
      </c>
      <c r="P23" s="22">
        <v>50205</v>
      </c>
      <c r="Q23" s="22">
        <v>41403</v>
      </c>
      <c r="R23" s="22">
        <v>30524</v>
      </c>
      <c r="S23" s="22">
        <v>21155</v>
      </c>
      <c r="T23" s="22">
        <v>12455</v>
      </c>
      <c r="U23" s="22">
        <v>6407</v>
      </c>
      <c r="V23" s="22">
        <v>3285</v>
      </c>
      <c r="W23" s="22">
        <v>1650</v>
      </c>
      <c r="X23" s="22">
        <v>792</v>
      </c>
      <c r="Y23" s="22">
        <v>514</v>
      </c>
      <c r="Z23" s="22">
        <v>768</v>
      </c>
      <c r="AA23" s="22">
        <v>1066</v>
      </c>
      <c r="AB23" s="22">
        <v>1694</v>
      </c>
      <c r="AC23" s="22">
        <v>3001</v>
      </c>
      <c r="AD23" s="22">
        <v>6032</v>
      </c>
      <c r="AE23" s="22">
        <v>12029</v>
      </c>
      <c r="AF23" s="22">
        <v>18872</v>
      </c>
      <c r="AG23" s="22">
        <v>21257</v>
      </c>
      <c r="AH23" s="22">
        <v>23413</v>
      </c>
      <c r="AI23" s="22">
        <v>25369</v>
      </c>
      <c r="AJ23" s="22">
        <v>26190</v>
      </c>
      <c r="AK23" s="22">
        <v>25894</v>
      </c>
      <c r="AL23" s="22">
        <v>24258</v>
      </c>
      <c r="AM23" s="22">
        <v>21574</v>
      </c>
      <c r="AN23" s="22">
        <v>18237</v>
      </c>
      <c r="AO23" s="22">
        <v>14555</v>
      </c>
      <c r="AP23" s="22">
        <v>10349</v>
      </c>
      <c r="AQ23" s="22">
        <v>6799</v>
      </c>
      <c r="AR23" s="22">
        <v>3937</v>
      </c>
      <c r="AS23" s="22">
        <v>1880</v>
      </c>
      <c r="AT23" s="22">
        <v>947</v>
      </c>
      <c r="AU23" s="22">
        <v>473</v>
      </c>
      <c r="AV23" s="22">
        <v>195</v>
      </c>
      <c r="AW23" s="22">
        <v>149</v>
      </c>
      <c r="AX23" s="23">
        <v>0.66378565254969746</v>
      </c>
      <c r="AY23" s="23">
        <v>0.63870581186339126</v>
      </c>
      <c r="AZ23" s="23">
        <v>0.61199421965317924</v>
      </c>
      <c r="BA23" s="23">
        <v>0.59650168952494531</v>
      </c>
      <c r="BB23" s="23">
        <v>0.57447619047619047</v>
      </c>
      <c r="BC23" s="23">
        <v>0.55087928191976554</v>
      </c>
      <c r="BD23" s="23">
        <v>0.5262688232013385</v>
      </c>
      <c r="BE23" s="23">
        <v>0.49824207762985184</v>
      </c>
      <c r="BF23" s="23">
        <v>0.47242680441493978</v>
      </c>
      <c r="BG23" s="23">
        <v>0.44354500314707324</v>
      </c>
      <c r="BH23" s="23">
        <v>0.42668621700879766</v>
      </c>
      <c r="BI23" s="23">
        <v>0.40496707902597706</v>
      </c>
      <c r="BJ23" s="23">
        <v>0.3886316666399654</v>
      </c>
      <c r="BK23" s="23">
        <v>0.37650302787036877</v>
      </c>
      <c r="BL23" s="23">
        <v>0.36325067224380042</v>
      </c>
      <c r="BM23" s="23">
        <v>0.35154457406468131</v>
      </c>
      <c r="BN23" s="23">
        <v>0.33904468614860439</v>
      </c>
      <c r="BO23" s="23">
        <v>0.32138974237768847</v>
      </c>
      <c r="BP23" s="23">
        <v>0.31609795262946605</v>
      </c>
      <c r="BQ23" s="23">
        <v>0.29342906196347746</v>
      </c>
      <c r="BR23" s="23">
        <v>0.28828006088280062</v>
      </c>
      <c r="BS23" s="23">
        <v>0.28666666666666668</v>
      </c>
      <c r="BT23" s="23">
        <v>0.24621212121212122</v>
      </c>
      <c r="BU23" s="23">
        <v>0.2898832684824903</v>
      </c>
      <c r="BV23" s="22">
        <v>641671</v>
      </c>
      <c r="BW23" s="22">
        <v>268938</v>
      </c>
      <c r="BX23" s="23">
        <v>0.41912132541442576</v>
      </c>
      <c r="BZ23" t="s">
        <v>384</v>
      </c>
      <c r="CA23" s="21" t="s">
        <v>222</v>
      </c>
      <c r="CB23" s="8">
        <f>SUM(CB9*B9+CB10*B10+CB15*B15)/(B9+B10+B15)</f>
        <v>0.5859381419909665</v>
      </c>
      <c r="CC23" s="8">
        <f t="shared" ref="CC23:CY23" si="33">SUM(CC9*C9+CC10*C10+CC15*C15)/(C9+C10+C15)</f>
        <v>0.5644894995744163</v>
      </c>
      <c r="CD23" s="8">
        <f t="shared" si="33"/>
        <v>0.49914941763770898</v>
      </c>
      <c r="CE23" s="8">
        <f t="shared" si="33"/>
        <v>0.47665935416794408</v>
      </c>
      <c r="CF23" s="8">
        <f t="shared" si="33"/>
        <v>0.44894380262815214</v>
      </c>
      <c r="CG23" s="8">
        <f t="shared" si="33"/>
        <v>0.41224917915872006</v>
      </c>
      <c r="CH23" s="8">
        <f t="shared" si="33"/>
        <v>0.38626814931996184</v>
      </c>
      <c r="CI23" s="8">
        <f t="shared" si="33"/>
        <v>0.35943090964894664</v>
      </c>
      <c r="CJ23" s="8">
        <f t="shared" si="33"/>
        <v>0.33542645989077435</v>
      </c>
      <c r="CK23" s="8">
        <f t="shared" si="33"/>
        <v>0.30379013703588859</v>
      </c>
      <c r="CL23" s="8">
        <f t="shared" si="33"/>
        <v>0.28147148888120571</v>
      </c>
      <c r="CM23" s="8">
        <f t="shared" si="33"/>
        <v>0.26657514934392984</v>
      </c>
      <c r="CN23" s="8">
        <f t="shared" si="33"/>
        <v>0.2498821583564006</v>
      </c>
      <c r="CO23" s="8">
        <f t="shared" si="33"/>
        <v>0.24262253465005654</v>
      </c>
      <c r="CP23" s="8">
        <f t="shared" si="33"/>
        <v>0.23757436099367957</v>
      </c>
      <c r="CQ23" s="8">
        <f t="shared" si="33"/>
        <v>0.22208506342053685</v>
      </c>
      <c r="CR23" s="8">
        <f t="shared" si="33"/>
        <v>0.20460737484688052</v>
      </c>
      <c r="CS23" s="8">
        <f t="shared" si="33"/>
        <v>0.19624505865667677</v>
      </c>
      <c r="CT23" s="8">
        <f t="shared" si="33"/>
        <v>0.18929048836181264</v>
      </c>
      <c r="CU23" s="8">
        <f t="shared" si="33"/>
        <v>0.17204774639880271</v>
      </c>
      <c r="CV23" s="8">
        <f t="shared" si="33"/>
        <v>0.17456523954689535</v>
      </c>
      <c r="CW23" s="8">
        <f t="shared" si="33"/>
        <v>0.15121850756081523</v>
      </c>
      <c r="CX23" s="8">
        <f t="shared" si="33"/>
        <v>0.16532492168465018</v>
      </c>
      <c r="CY23" s="8">
        <f t="shared" si="33"/>
        <v>0.13253955154157582</v>
      </c>
      <c r="DB23" s="8">
        <f>BX25</f>
        <v>0.48522531032752286</v>
      </c>
      <c r="DC23" s="8">
        <f>BX49</f>
        <v>0.40675057208237986</v>
      </c>
      <c r="DD23" t="s">
        <v>219</v>
      </c>
      <c r="DE23" s="21" t="s">
        <v>386</v>
      </c>
      <c r="DF23" s="8">
        <f>SUM(DF9*0.76+DF10*0.22+DF15*0.02)</f>
        <v>0.75994194792182523</v>
      </c>
      <c r="DG23" s="8">
        <f t="shared" ref="DG23:EC23" si="34">SUM(DG9*0.76+DG10*0.22+DG15*0.02)</f>
        <v>0.74006008346257335</v>
      </c>
      <c r="DH23" s="8">
        <f t="shared" si="34"/>
        <v>0.70626051998353478</v>
      </c>
      <c r="DI23" s="8">
        <f t="shared" si="34"/>
        <v>0.67256534665210488</v>
      </c>
      <c r="DJ23" s="8">
        <f t="shared" si="34"/>
        <v>0.63662937985678714</v>
      </c>
      <c r="DK23" s="8">
        <f t="shared" si="34"/>
        <v>0.60935635182265246</v>
      </c>
      <c r="DL23" s="8">
        <f t="shared" si="34"/>
        <v>0.56511909814119798</v>
      </c>
      <c r="DM23" s="8">
        <f t="shared" si="34"/>
        <v>0.52028206796576104</v>
      </c>
      <c r="DN23" s="8">
        <f t="shared" si="34"/>
        <v>0.47908941027950908</v>
      </c>
      <c r="DO23" s="8">
        <f t="shared" si="34"/>
        <v>0.43337120442810839</v>
      </c>
      <c r="DP23" s="8">
        <f t="shared" si="34"/>
        <v>0.40838076237502435</v>
      </c>
      <c r="DQ23" s="8">
        <f t="shared" si="34"/>
        <v>0.38711224411138567</v>
      </c>
      <c r="DR23" s="8">
        <f t="shared" si="34"/>
        <v>0.35854826817966023</v>
      </c>
      <c r="DS23" s="8">
        <f t="shared" si="34"/>
        <v>0.35116414980442684</v>
      </c>
      <c r="DT23" s="8">
        <f t="shared" si="34"/>
        <v>0.33556812742059622</v>
      </c>
      <c r="DU23" s="8">
        <f t="shared" si="34"/>
        <v>0.31362404175782216</v>
      </c>
      <c r="DV23" s="8">
        <f t="shared" si="34"/>
        <v>0.29196062704402592</v>
      </c>
      <c r="DW23" s="8">
        <f t="shared" si="34"/>
        <v>0.27178933144874445</v>
      </c>
      <c r="DX23" s="8">
        <f t="shared" si="34"/>
        <v>0.26658085925894059</v>
      </c>
      <c r="DY23" s="8">
        <f t="shared" si="34"/>
        <v>0.24968661129649192</v>
      </c>
      <c r="DZ23" s="8">
        <f t="shared" si="34"/>
        <v>0.23609191227992285</v>
      </c>
      <c r="EA23" s="8">
        <f t="shared" si="34"/>
        <v>0.22640295223819845</v>
      </c>
      <c r="EB23" s="8">
        <f t="shared" si="34"/>
        <v>0.21671433606127202</v>
      </c>
      <c r="EC23" s="8">
        <f t="shared" si="34"/>
        <v>0.20725904134287407</v>
      </c>
      <c r="ED23" s="7">
        <f t="shared" si="12"/>
        <v>0.38314867992693996</v>
      </c>
      <c r="EE23" s="7">
        <f>DC23</f>
        <v>0.40675057208237986</v>
      </c>
    </row>
    <row r="25" spans="1:145">
      <c r="A25" s="20" t="s">
        <v>64</v>
      </c>
      <c r="B25">
        <f>+B21+B22</f>
        <v>228</v>
      </c>
      <c r="C25">
        <f t="shared" ref="C25:AW25" si="35">+C21+C22</f>
        <v>342</v>
      </c>
      <c r="D25">
        <f t="shared" si="35"/>
        <v>569</v>
      </c>
      <c r="E25">
        <f t="shared" si="35"/>
        <v>1113</v>
      </c>
      <c r="F25">
        <f t="shared" si="35"/>
        <v>2192</v>
      </c>
      <c r="G25">
        <f t="shared" si="35"/>
        <v>4624</v>
      </c>
      <c r="H25">
        <f t="shared" si="35"/>
        <v>7484</v>
      </c>
      <c r="I25">
        <f t="shared" si="35"/>
        <v>8937</v>
      </c>
      <c r="J25">
        <f t="shared" si="35"/>
        <v>10475</v>
      </c>
      <c r="K25">
        <f t="shared" si="35"/>
        <v>12025</v>
      </c>
      <c r="L25">
        <f t="shared" si="35"/>
        <v>12989</v>
      </c>
      <c r="M25">
        <f t="shared" si="35"/>
        <v>13711</v>
      </c>
      <c r="N25">
        <f t="shared" si="35"/>
        <v>13236</v>
      </c>
      <c r="O25">
        <f t="shared" si="35"/>
        <v>12150</v>
      </c>
      <c r="P25">
        <f t="shared" si="35"/>
        <v>10694</v>
      </c>
      <c r="Q25">
        <f t="shared" si="35"/>
        <v>8685</v>
      </c>
      <c r="R25">
        <f t="shared" si="35"/>
        <v>6467</v>
      </c>
      <c r="S25">
        <f t="shared" si="35"/>
        <v>4398</v>
      </c>
      <c r="T25">
        <f t="shared" si="35"/>
        <v>2587</v>
      </c>
      <c r="U25">
        <f t="shared" si="35"/>
        <v>1283</v>
      </c>
      <c r="V25">
        <f t="shared" si="35"/>
        <v>689</v>
      </c>
      <c r="W25">
        <f t="shared" si="35"/>
        <v>356</v>
      </c>
      <c r="X25">
        <f t="shared" si="35"/>
        <v>171</v>
      </c>
      <c r="Y25">
        <f t="shared" si="35"/>
        <v>97</v>
      </c>
      <c r="Z25">
        <f t="shared" si="35"/>
        <v>183</v>
      </c>
      <c r="AA25">
        <f t="shared" si="35"/>
        <v>269</v>
      </c>
      <c r="AB25">
        <f t="shared" si="35"/>
        <v>431</v>
      </c>
      <c r="AC25">
        <f t="shared" si="35"/>
        <v>807</v>
      </c>
      <c r="AD25">
        <f t="shared" si="35"/>
        <v>1481</v>
      </c>
      <c r="AE25">
        <f t="shared" si="35"/>
        <v>2969</v>
      </c>
      <c r="AF25">
        <f t="shared" si="35"/>
        <v>4575</v>
      </c>
      <c r="AG25">
        <f t="shared" si="35"/>
        <v>5246</v>
      </c>
      <c r="AH25">
        <f t="shared" si="35"/>
        <v>5690</v>
      </c>
      <c r="AI25">
        <f t="shared" si="35"/>
        <v>6121</v>
      </c>
      <c r="AJ25">
        <f t="shared" si="35"/>
        <v>6285</v>
      </c>
      <c r="AK25">
        <f t="shared" si="35"/>
        <v>6306</v>
      </c>
      <c r="AL25">
        <f t="shared" si="35"/>
        <v>5964</v>
      </c>
      <c r="AM25">
        <f t="shared" si="35"/>
        <v>5164</v>
      </c>
      <c r="AN25">
        <f t="shared" si="35"/>
        <v>4449</v>
      </c>
      <c r="AO25">
        <f t="shared" si="35"/>
        <v>3561</v>
      </c>
      <c r="AP25">
        <f t="shared" si="35"/>
        <v>2604</v>
      </c>
      <c r="AQ25">
        <f t="shared" si="35"/>
        <v>1700</v>
      </c>
      <c r="AR25">
        <f t="shared" si="35"/>
        <v>1010</v>
      </c>
      <c r="AS25">
        <f t="shared" si="35"/>
        <v>470</v>
      </c>
      <c r="AT25">
        <f t="shared" si="35"/>
        <v>262</v>
      </c>
      <c r="AU25">
        <f t="shared" si="35"/>
        <v>121</v>
      </c>
      <c r="AV25">
        <f t="shared" si="35"/>
        <v>54</v>
      </c>
      <c r="AW25">
        <f t="shared" si="35"/>
        <v>27</v>
      </c>
      <c r="AX25" s="8">
        <f>+Z25/B25</f>
        <v>0.80263157894736847</v>
      </c>
      <c r="AY25" s="8">
        <f t="shared" ref="AY25:BU25" si="36">+AA25/C25</f>
        <v>0.78654970760233922</v>
      </c>
      <c r="AZ25" s="8">
        <f t="shared" si="36"/>
        <v>0.75746924428822493</v>
      </c>
      <c r="BA25" s="8">
        <f t="shared" si="36"/>
        <v>0.72506738544474392</v>
      </c>
      <c r="BB25" s="8">
        <f t="shared" si="36"/>
        <v>0.67563868613138689</v>
      </c>
      <c r="BC25" s="8">
        <f t="shared" si="36"/>
        <v>0.64208477508650519</v>
      </c>
      <c r="BD25" s="8">
        <f t="shared" si="36"/>
        <v>0.61130411544628538</v>
      </c>
      <c r="BE25" s="8">
        <f t="shared" si="36"/>
        <v>0.58699787400693748</v>
      </c>
      <c r="BF25" s="8">
        <f t="shared" si="36"/>
        <v>0.5431980906921241</v>
      </c>
      <c r="BG25" s="8">
        <f t="shared" si="36"/>
        <v>0.50902286902286897</v>
      </c>
      <c r="BH25" s="8">
        <f t="shared" si="36"/>
        <v>0.4838709677419355</v>
      </c>
      <c r="BI25" s="8">
        <f t="shared" si="36"/>
        <v>0.45992268981110057</v>
      </c>
      <c r="BJ25" s="8">
        <f t="shared" si="36"/>
        <v>0.45058930190389845</v>
      </c>
      <c r="BK25" s="8">
        <f t="shared" si="36"/>
        <v>0.42502057613168726</v>
      </c>
      <c r="BL25" s="8">
        <f t="shared" si="36"/>
        <v>0.41602767907237703</v>
      </c>
      <c r="BM25" s="8">
        <f t="shared" si="36"/>
        <v>0.41001727115716752</v>
      </c>
      <c r="BN25" s="8">
        <f t="shared" si="36"/>
        <v>0.40265965671872583</v>
      </c>
      <c r="BO25" s="8">
        <f t="shared" si="36"/>
        <v>0.38653933606184632</v>
      </c>
      <c r="BP25" s="8">
        <f t="shared" si="36"/>
        <v>0.39041360649400852</v>
      </c>
      <c r="BQ25" s="8">
        <f t="shared" si="36"/>
        <v>0.36632891660171474</v>
      </c>
      <c r="BR25" s="8">
        <f t="shared" si="36"/>
        <v>0.3802612481857765</v>
      </c>
      <c r="BS25" s="8">
        <f t="shared" si="36"/>
        <v>0.3398876404494382</v>
      </c>
      <c r="BT25" s="8">
        <f t="shared" si="36"/>
        <v>0.31578947368421051</v>
      </c>
      <c r="BU25" s="8">
        <f t="shared" si="36"/>
        <v>0.27835051546391754</v>
      </c>
      <c r="BV25" s="18">
        <f>BV21+BV22</f>
        <v>135502</v>
      </c>
      <c r="BW25" s="18">
        <f>BW21+BW22</f>
        <v>65749</v>
      </c>
      <c r="BX25" s="8">
        <f>BW25/BV25</f>
        <v>0.48522531032752286</v>
      </c>
      <c r="BY25" t="s">
        <v>372</v>
      </c>
      <c r="CA25" s="20" t="s">
        <v>205</v>
      </c>
      <c r="CB25" s="8">
        <f>AX25</f>
        <v>0.80263157894736847</v>
      </c>
      <c r="CC25" s="8">
        <f t="shared" ref="CC25:CY25" si="37">AY25</f>
        <v>0.78654970760233922</v>
      </c>
      <c r="CD25" s="8">
        <f t="shared" si="37"/>
        <v>0.75746924428822493</v>
      </c>
      <c r="CE25" s="8">
        <f t="shared" si="37"/>
        <v>0.72506738544474392</v>
      </c>
      <c r="CF25" s="8">
        <f t="shared" si="37"/>
        <v>0.67563868613138689</v>
      </c>
      <c r="CG25" s="8">
        <f t="shared" si="37"/>
        <v>0.64208477508650519</v>
      </c>
      <c r="CH25" s="8">
        <f t="shared" si="37"/>
        <v>0.61130411544628538</v>
      </c>
      <c r="CI25" s="8">
        <f t="shared" si="37"/>
        <v>0.58699787400693748</v>
      </c>
      <c r="CJ25" s="8">
        <f t="shared" si="37"/>
        <v>0.5431980906921241</v>
      </c>
      <c r="CK25" s="8">
        <f t="shared" si="37"/>
        <v>0.50902286902286897</v>
      </c>
      <c r="CL25" s="8">
        <f t="shared" si="37"/>
        <v>0.4838709677419355</v>
      </c>
      <c r="CM25" s="8">
        <f t="shared" si="37"/>
        <v>0.45992268981110057</v>
      </c>
      <c r="CN25" s="8">
        <f t="shared" si="37"/>
        <v>0.45058930190389845</v>
      </c>
      <c r="CO25" s="8">
        <f t="shared" si="37"/>
        <v>0.42502057613168726</v>
      </c>
      <c r="CP25" s="8">
        <f t="shared" si="37"/>
        <v>0.41602767907237703</v>
      </c>
      <c r="CQ25" s="8">
        <f t="shared" si="37"/>
        <v>0.41001727115716752</v>
      </c>
      <c r="CR25" s="8">
        <f t="shared" si="37"/>
        <v>0.40265965671872583</v>
      </c>
      <c r="CS25" s="8">
        <f t="shared" si="37"/>
        <v>0.38653933606184632</v>
      </c>
      <c r="CT25" s="8">
        <f t="shared" si="37"/>
        <v>0.39041360649400852</v>
      </c>
      <c r="CU25" s="8">
        <f t="shared" si="37"/>
        <v>0.36632891660171474</v>
      </c>
      <c r="CV25" s="8">
        <f t="shared" si="37"/>
        <v>0.3802612481857765</v>
      </c>
      <c r="CW25" s="8">
        <f t="shared" si="37"/>
        <v>0.3398876404494382</v>
      </c>
      <c r="CX25" s="8">
        <f t="shared" si="37"/>
        <v>0.31578947368421051</v>
      </c>
      <c r="CY25" s="8">
        <f t="shared" si="37"/>
        <v>0.27835051546391754</v>
      </c>
      <c r="CZ25" s="8">
        <f>(CZ26*SUM(B26:Y26)+CZ28*SUM(B28:Y28))/SUM(B26:Y26,B28:Y28)</f>
        <v>0.48525322739461363</v>
      </c>
      <c r="DA25" s="8">
        <f>BX25</f>
        <v>0.48522531032752286</v>
      </c>
      <c r="DB25" s="8"/>
      <c r="DC25" s="8"/>
      <c r="DD25" t="s">
        <v>210</v>
      </c>
      <c r="DE25" s="20" t="s">
        <v>205</v>
      </c>
      <c r="DF25" s="8">
        <f t="shared" ref="DF25:EC25" si="38">BZ25</f>
        <v>0</v>
      </c>
      <c r="DG25" s="8" t="str">
        <f t="shared" si="38"/>
        <v>total wing conv%</v>
      </c>
      <c r="DH25" s="8">
        <f t="shared" si="38"/>
        <v>0.80263157894736847</v>
      </c>
      <c r="DI25" s="8">
        <f t="shared" si="38"/>
        <v>0.78654970760233922</v>
      </c>
      <c r="DJ25" s="8">
        <f t="shared" si="38"/>
        <v>0.75746924428822493</v>
      </c>
      <c r="DK25" s="8">
        <f t="shared" si="38"/>
        <v>0.72506738544474392</v>
      </c>
      <c r="DL25" s="8">
        <f t="shared" si="38"/>
        <v>0.67563868613138689</v>
      </c>
      <c r="DM25" s="8">
        <f t="shared" si="38"/>
        <v>0.64208477508650519</v>
      </c>
      <c r="DN25" s="8">
        <f t="shared" si="38"/>
        <v>0.61130411544628538</v>
      </c>
      <c r="DO25" s="8">
        <f t="shared" si="38"/>
        <v>0.58699787400693748</v>
      </c>
      <c r="DP25" s="8">
        <f t="shared" si="38"/>
        <v>0.5431980906921241</v>
      </c>
      <c r="DQ25" s="8">
        <f t="shared" si="38"/>
        <v>0.50902286902286897</v>
      </c>
      <c r="DR25" s="8">
        <f t="shared" si="38"/>
        <v>0.4838709677419355</v>
      </c>
      <c r="DS25" s="8">
        <f t="shared" si="38"/>
        <v>0.45992268981110057</v>
      </c>
      <c r="DT25" s="8">
        <f t="shared" si="38"/>
        <v>0.45058930190389845</v>
      </c>
      <c r="DU25" s="8">
        <f t="shared" si="38"/>
        <v>0.42502057613168726</v>
      </c>
      <c r="DV25" s="8">
        <f t="shared" si="38"/>
        <v>0.41602767907237703</v>
      </c>
      <c r="DW25" s="8">
        <f t="shared" si="38"/>
        <v>0.41001727115716752</v>
      </c>
      <c r="DX25" s="8">
        <f t="shared" si="38"/>
        <v>0.40265965671872583</v>
      </c>
      <c r="DY25" s="8">
        <f t="shared" si="38"/>
        <v>0.38653933606184632</v>
      </c>
      <c r="DZ25" s="8">
        <f t="shared" si="38"/>
        <v>0.39041360649400852</v>
      </c>
      <c r="EA25" s="8">
        <f t="shared" si="38"/>
        <v>0.36632891660171474</v>
      </c>
      <c r="EB25" s="8">
        <f t="shared" si="38"/>
        <v>0.3802612481857765</v>
      </c>
      <c r="EC25" s="8">
        <f t="shared" si="38"/>
        <v>0.3398876404494382</v>
      </c>
      <c r="ED25" s="8">
        <f>(ED26*SUM(AD26:BA26)+ED28*SUM(AD28:BA28))/SUM(AD26:BA26,AD28:BA28)</f>
        <v>0.38539961566914505</v>
      </c>
      <c r="EE25" s="8">
        <f>CZ25</f>
        <v>0.48525322739461363</v>
      </c>
    </row>
    <row r="26" spans="1:145">
      <c r="A26" s="20" t="s">
        <v>65</v>
      </c>
      <c r="B26" s="18">
        <f>+B22/AX26</f>
        <v>62.04081632653061</v>
      </c>
      <c r="C26" s="18">
        <f t="shared" ref="C26:Y26" si="39">+C22/AY26</f>
        <v>90.237467018469658</v>
      </c>
      <c r="D26" s="18">
        <f t="shared" si="39"/>
        <v>150.44271367083419</v>
      </c>
      <c r="E26" s="18">
        <f t="shared" si="39"/>
        <v>301.79353152564522</v>
      </c>
      <c r="F26" s="18">
        <f t="shared" si="39"/>
        <v>627.86966239265973</v>
      </c>
      <c r="G26" s="18">
        <f t="shared" si="39"/>
        <v>1304.4331759631639</v>
      </c>
      <c r="H26" s="18">
        <f t="shared" si="39"/>
        <v>2056.785513017996</v>
      </c>
      <c r="I26" s="18">
        <f t="shared" si="39"/>
        <v>2452.7004576770851</v>
      </c>
      <c r="J26" s="18">
        <f t="shared" si="39"/>
        <v>3106.3525046382192</v>
      </c>
      <c r="K26" s="18">
        <f t="shared" si="39"/>
        <v>3595.9240800163861</v>
      </c>
      <c r="L26" s="18">
        <f t="shared" si="39"/>
        <v>3797.0718232044201</v>
      </c>
      <c r="M26" s="18">
        <f t="shared" si="39"/>
        <v>4282.7341053262298</v>
      </c>
      <c r="N26" s="18">
        <f t="shared" si="39"/>
        <v>4146.4663263625889</v>
      </c>
      <c r="O26" s="18">
        <f t="shared" si="39"/>
        <v>3874.1338767831944</v>
      </c>
      <c r="P26" s="18">
        <f t="shared" si="39"/>
        <v>3420.3591620759644</v>
      </c>
      <c r="Q26" s="18">
        <f t="shared" si="39"/>
        <v>2909.7053843548933</v>
      </c>
      <c r="R26" s="18">
        <f t="shared" si="39"/>
        <v>2252.0207955209648</v>
      </c>
      <c r="S26" s="18">
        <f t="shared" si="39"/>
        <v>1547.6652023553604</v>
      </c>
      <c r="T26" s="18">
        <f t="shared" si="39"/>
        <v>893.12366989832105</v>
      </c>
      <c r="U26" s="18">
        <f t="shared" si="39"/>
        <v>478.2032425204747</v>
      </c>
      <c r="V26" s="18">
        <f t="shared" si="39"/>
        <v>260.27500755515257</v>
      </c>
      <c r="W26" s="18">
        <f t="shared" si="39"/>
        <v>138.67177522349937</v>
      </c>
      <c r="X26" s="18">
        <f t="shared" si="39"/>
        <v>62.53164556962026</v>
      </c>
      <c r="Y26" s="18">
        <f t="shared" si="39"/>
        <v>37.002724795640326</v>
      </c>
      <c r="AX26" s="8">
        <f>+AX25+0.1</f>
        <v>0.90263157894736845</v>
      </c>
      <c r="AY26" s="8">
        <f t="shared" ref="AY26:BU26" si="40">+AY25+0.1</f>
        <v>0.8865497076023392</v>
      </c>
      <c r="AZ26" s="8">
        <f t="shared" si="40"/>
        <v>0.85746924428822491</v>
      </c>
      <c r="BA26" s="8">
        <f t="shared" si="40"/>
        <v>0.82506738544474389</v>
      </c>
      <c r="BB26" s="8">
        <f t="shared" si="40"/>
        <v>0.77563868613138687</v>
      </c>
      <c r="BC26" s="8">
        <f t="shared" si="40"/>
        <v>0.74208477508650517</v>
      </c>
      <c r="BD26" s="8">
        <f t="shared" si="40"/>
        <v>0.71130411544628536</v>
      </c>
      <c r="BE26" s="8">
        <f t="shared" si="40"/>
        <v>0.68699787400693746</v>
      </c>
      <c r="BF26" s="8">
        <f t="shared" si="40"/>
        <v>0.64319809069212408</v>
      </c>
      <c r="BG26" s="8">
        <f t="shared" si="40"/>
        <v>0.60902286902286895</v>
      </c>
      <c r="BH26" s="8">
        <f t="shared" si="40"/>
        <v>0.58387096774193548</v>
      </c>
      <c r="BI26" s="8">
        <f t="shared" si="40"/>
        <v>0.5599226898111006</v>
      </c>
      <c r="BJ26" s="8">
        <f t="shared" si="40"/>
        <v>0.55058930190389843</v>
      </c>
      <c r="BK26" s="8">
        <f t="shared" si="40"/>
        <v>0.52502057613168729</v>
      </c>
      <c r="BL26" s="8">
        <f t="shared" si="40"/>
        <v>0.51602767907237701</v>
      </c>
      <c r="BM26" s="8">
        <f t="shared" si="40"/>
        <v>0.51001727115716755</v>
      </c>
      <c r="BN26" s="8">
        <f t="shared" si="40"/>
        <v>0.50265965671872581</v>
      </c>
      <c r="BO26" s="8">
        <f t="shared" si="40"/>
        <v>0.48653933606184629</v>
      </c>
      <c r="BP26" s="8">
        <f t="shared" si="40"/>
        <v>0.49041360649400856</v>
      </c>
      <c r="BQ26" s="8">
        <f t="shared" si="40"/>
        <v>0.46632891660171472</v>
      </c>
      <c r="BR26" s="8">
        <f t="shared" si="40"/>
        <v>0.48026124818577653</v>
      </c>
      <c r="BS26" s="8">
        <f t="shared" si="40"/>
        <v>0.43988764044943818</v>
      </c>
      <c r="BT26" s="8">
        <f t="shared" si="40"/>
        <v>0.41578947368421049</v>
      </c>
      <c r="BU26" s="8">
        <f t="shared" si="40"/>
        <v>0.37835051546391751</v>
      </c>
      <c r="BX26" s="7">
        <f>+BX25+0.1</f>
        <v>0.5852253103275229</v>
      </c>
      <c r="BY26" t="s">
        <v>373</v>
      </c>
      <c r="CA26" s="20" t="s">
        <v>206</v>
      </c>
      <c r="CB26" s="8">
        <f>AX26</f>
        <v>0.90263157894736845</v>
      </c>
      <c r="CC26" s="8">
        <f t="shared" ref="CC26:CR26" si="41">AY26</f>
        <v>0.8865497076023392</v>
      </c>
      <c r="CD26" s="8">
        <f t="shared" si="41"/>
        <v>0.85746924428822491</v>
      </c>
      <c r="CE26" s="8">
        <f t="shared" si="41"/>
        <v>0.82506738544474389</v>
      </c>
      <c r="CF26" s="8">
        <f t="shared" si="41"/>
        <v>0.77563868613138687</v>
      </c>
      <c r="CG26" s="8">
        <f t="shared" si="41"/>
        <v>0.74208477508650517</v>
      </c>
      <c r="CH26" s="8">
        <f t="shared" si="41"/>
        <v>0.71130411544628536</v>
      </c>
      <c r="CI26" s="8">
        <f t="shared" si="41"/>
        <v>0.68699787400693746</v>
      </c>
      <c r="CJ26" s="8">
        <f t="shared" si="41"/>
        <v>0.64319809069212408</v>
      </c>
      <c r="CK26" s="8">
        <f t="shared" si="41"/>
        <v>0.60902286902286895</v>
      </c>
      <c r="CL26" s="8">
        <f t="shared" si="41"/>
        <v>0.58387096774193548</v>
      </c>
      <c r="CM26" s="8">
        <f t="shared" si="41"/>
        <v>0.5599226898111006</v>
      </c>
      <c r="CN26" s="8">
        <f t="shared" si="41"/>
        <v>0.55058930190389843</v>
      </c>
      <c r="CO26" s="8">
        <f t="shared" si="41"/>
        <v>0.52502057613168729</v>
      </c>
      <c r="CP26" s="8">
        <f t="shared" si="41"/>
        <v>0.51602767907237701</v>
      </c>
      <c r="CQ26" s="8">
        <f t="shared" si="41"/>
        <v>0.51001727115716755</v>
      </c>
      <c r="CR26" s="7">
        <f t="shared" si="41"/>
        <v>0.50265965671872581</v>
      </c>
      <c r="CS26" s="7">
        <v>0.49</v>
      </c>
      <c r="CT26" s="7">
        <v>0.48</v>
      </c>
      <c r="CU26" s="7">
        <v>0.47</v>
      </c>
      <c r="CV26" s="7">
        <v>0.46</v>
      </c>
      <c r="CW26" s="8">
        <f>BS26</f>
        <v>0.43988764044943818</v>
      </c>
      <c r="CX26" s="8">
        <f>BT26</f>
        <v>0.41578947368421049</v>
      </c>
      <c r="CY26" s="8">
        <f>BU26</f>
        <v>0.37835051546391751</v>
      </c>
      <c r="CZ26" s="8">
        <f>SUMPRODUCT(CB26:CY26,B26:Y26)/SUM(B26:Y26)</f>
        <v>0.57948340935130516</v>
      </c>
      <c r="DA26" s="8">
        <f>BX26</f>
        <v>0.5852253103275229</v>
      </c>
      <c r="DB26" s="8"/>
      <c r="DC26" s="8"/>
      <c r="DD26" t="s">
        <v>211</v>
      </c>
      <c r="DE26" s="20" t="s">
        <v>206</v>
      </c>
      <c r="DF26" s="8">
        <f t="shared" ref="DF26:DV26" si="42">BZ26</f>
        <v>0</v>
      </c>
      <c r="DG26" s="8" t="str">
        <f t="shared" si="42"/>
        <v>head conv%</v>
      </c>
      <c r="DH26" s="8">
        <f t="shared" si="42"/>
        <v>0.90263157894736845</v>
      </c>
      <c r="DI26" s="8">
        <f t="shared" si="42"/>
        <v>0.8865497076023392</v>
      </c>
      <c r="DJ26" s="8">
        <f t="shared" si="42"/>
        <v>0.85746924428822491</v>
      </c>
      <c r="DK26" s="8">
        <f t="shared" si="42"/>
        <v>0.82506738544474389</v>
      </c>
      <c r="DL26" s="8">
        <f t="shared" si="42"/>
        <v>0.77563868613138687</v>
      </c>
      <c r="DM26" s="8">
        <f t="shared" si="42"/>
        <v>0.74208477508650517</v>
      </c>
      <c r="DN26" s="8">
        <f t="shared" si="42"/>
        <v>0.71130411544628536</v>
      </c>
      <c r="DO26" s="8">
        <f t="shared" si="42"/>
        <v>0.68699787400693746</v>
      </c>
      <c r="DP26" s="8">
        <f t="shared" si="42"/>
        <v>0.64319809069212408</v>
      </c>
      <c r="DQ26" s="8">
        <f t="shared" si="42"/>
        <v>0.60902286902286895</v>
      </c>
      <c r="DR26" s="8">
        <f t="shared" si="42"/>
        <v>0.58387096774193548</v>
      </c>
      <c r="DS26" s="8">
        <f t="shared" si="42"/>
        <v>0.5599226898111006</v>
      </c>
      <c r="DT26" s="8">
        <f t="shared" si="42"/>
        <v>0.55058930190389843</v>
      </c>
      <c r="DU26" s="8">
        <f t="shared" si="42"/>
        <v>0.52502057613168729</v>
      </c>
      <c r="DV26" s="7">
        <f t="shared" si="42"/>
        <v>0.51602767907237701</v>
      </c>
      <c r="DW26" s="7">
        <v>0.49</v>
      </c>
      <c r="DX26" s="7">
        <v>0.48</v>
      </c>
      <c r="DY26" s="7">
        <v>0.47</v>
      </c>
      <c r="DZ26" s="7">
        <v>0.46</v>
      </c>
      <c r="EA26" s="8">
        <f>CU26</f>
        <v>0.47</v>
      </c>
      <c r="EB26" s="8">
        <f>CV26</f>
        <v>0.46</v>
      </c>
      <c r="EC26" s="8">
        <f>CW26</f>
        <v>0.43988764044943818</v>
      </c>
      <c r="ED26" s="8">
        <f>SUMPRODUCT(DF26:EC26,AD26:BA26)/SUM(AD26:BA26)</f>
        <v>0.45777385288210326</v>
      </c>
      <c r="EE26" s="8">
        <f>CZ26</f>
        <v>0.57948340935130516</v>
      </c>
    </row>
    <row r="27" spans="1:145">
      <c r="A27" s="20" t="s">
        <v>66</v>
      </c>
      <c r="B27" s="18">
        <f>+B26-B22</f>
        <v>6.0408163265306101</v>
      </c>
      <c r="C27" s="18">
        <f t="shared" ref="C27:Y27" si="43">+C26-C22</f>
        <v>10.237467018469658</v>
      </c>
      <c r="D27" s="18">
        <f t="shared" si="43"/>
        <v>21.442713670834195</v>
      </c>
      <c r="E27" s="18">
        <f t="shared" si="43"/>
        <v>52.793531525645221</v>
      </c>
      <c r="F27" s="18">
        <f t="shared" si="43"/>
        <v>140.86966239265973</v>
      </c>
      <c r="G27" s="18">
        <f t="shared" si="43"/>
        <v>336.43317596316388</v>
      </c>
      <c r="H27" s="18">
        <f t="shared" si="43"/>
        <v>593.78551301799598</v>
      </c>
      <c r="I27" s="18">
        <f t="shared" si="43"/>
        <v>767.70045767708507</v>
      </c>
      <c r="J27" s="18">
        <f t="shared" si="43"/>
        <v>1108.3525046382192</v>
      </c>
      <c r="K27" s="18">
        <f t="shared" si="43"/>
        <v>1405.9240800163861</v>
      </c>
      <c r="L27" s="18">
        <f t="shared" si="43"/>
        <v>1580.0718232044201</v>
      </c>
      <c r="M27" s="18">
        <f t="shared" si="43"/>
        <v>1884.7341053262298</v>
      </c>
      <c r="N27" s="18">
        <f t="shared" si="43"/>
        <v>1863.4663263625889</v>
      </c>
      <c r="O27" s="18">
        <f t="shared" si="43"/>
        <v>1840.1338767831944</v>
      </c>
      <c r="P27" s="18">
        <f t="shared" si="43"/>
        <v>1655.3591620759644</v>
      </c>
      <c r="Q27" s="18">
        <f t="shared" si="43"/>
        <v>1425.7053843548933</v>
      </c>
      <c r="R27" s="18">
        <f t="shared" si="43"/>
        <v>1120.0207955209648</v>
      </c>
      <c r="S27" s="18">
        <f t="shared" si="43"/>
        <v>794.66520235536041</v>
      </c>
      <c r="T27" s="18">
        <f t="shared" si="43"/>
        <v>455.12366989832105</v>
      </c>
      <c r="U27" s="18">
        <f t="shared" si="43"/>
        <v>255.2032425204747</v>
      </c>
      <c r="V27" s="18">
        <f t="shared" si="43"/>
        <v>135.27500755515257</v>
      </c>
      <c r="W27" s="18">
        <f t="shared" si="43"/>
        <v>77.671775223499367</v>
      </c>
      <c r="X27" s="18">
        <f t="shared" si="43"/>
        <v>36.53164556962026</v>
      </c>
      <c r="Y27" s="18">
        <f t="shared" si="43"/>
        <v>23.002724795640326</v>
      </c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X27" s="7"/>
      <c r="CA27" s="20" t="s">
        <v>213</v>
      </c>
      <c r="CB27" s="8">
        <f>(CB26*B26+CB28*B28)/B25</f>
        <v>0.80263157894736847</v>
      </c>
      <c r="CC27" s="8">
        <f t="shared" ref="CC27:CY27" si="44">(CC26*C26+CC28*C28)/C25</f>
        <v>0.78654970760233922</v>
      </c>
      <c r="CD27" s="8">
        <f t="shared" si="44"/>
        <v>0.75746924428822493</v>
      </c>
      <c r="CE27" s="8">
        <f t="shared" si="44"/>
        <v>0.72506738544474392</v>
      </c>
      <c r="CF27" s="8">
        <f t="shared" si="44"/>
        <v>0.67563868613138689</v>
      </c>
      <c r="CG27" s="8">
        <f t="shared" si="44"/>
        <v>0.64208477508650519</v>
      </c>
      <c r="CH27" s="8">
        <f t="shared" si="44"/>
        <v>0.61130411544628538</v>
      </c>
      <c r="CI27" s="8">
        <f t="shared" si="44"/>
        <v>0.58699787400693748</v>
      </c>
      <c r="CJ27" s="8">
        <f t="shared" si="44"/>
        <v>0.5431980906921241</v>
      </c>
      <c r="CK27" s="8">
        <f t="shared" si="44"/>
        <v>0.50902286902286897</v>
      </c>
      <c r="CL27" s="8">
        <f t="shared" si="44"/>
        <v>0.4838709677419355</v>
      </c>
      <c r="CM27" s="8">
        <f t="shared" si="44"/>
        <v>0.45992268981110057</v>
      </c>
      <c r="CN27" s="8">
        <f t="shared" si="44"/>
        <v>0.45058930190389845</v>
      </c>
      <c r="CO27" s="8">
        <f t="shared" si="44"/>
        <v>0.42502057613168726</v>
      </c>
      <c r="CP27" s="8">
        <f t="shared" si="44"/>
        <v>0.41602767907237703</v>
      </c>
      <c r="CQ27" s="8">
        <f t="shared" si="44"/>
        <v>0.41001727115716752</v>
      </c>
      <c r="CR27" s="8">
        <f t="shared" si="44"/>
        <v>0.40265965671872583</v>
      </c>
      <c r="CS27" s="8">
        <f t="shared" si="44"/>
        <v>0.39278530703804093</v>
      </c>
      <c r="CT27" s="8">
        <f t="shared" si="44"/>
        <v>0.38178529203121303</v>
      </c>
      <c r="CU27" s="8">
        <f t="shared" si="44"/>
        <v>0.37590840715360185</v>
      </c>
      <c r="CV27" s="8">
        <f t="shared" si="44"/>
        <v>0.3604412209126624</v>
      </c>
      <c r="CW27" s="8">
        <f t="shared" si="44"/>
        <v>0.3398876404494382</v>
      </c>
      <c r="CX27" s="8">
        <f t="shared" si="44"/>
        <v>0.31578947368421051</v>
      </c>
      <c r="CY27" s="8">
        <f t="shared" si="44"/>
        <v>0.27835051546391754</v>
      </c>
      <c r="CZ27" s="8">
        <f>(CZ26*SUM(B26:Y26)+CZ28*SUM(B28:Y28))/SUM(B25:Y25)</f>
        <v>0.48525322739461363</v>
      </c>
      <c r="DA27" s="8">
        <f>(DA26*AA26+DA28+AA28)/AA25</f>
        <v>1.6469401490208778E-3</v>
      </c>
      <c r="DB27" s="8"/>
      <c r="DC27" s="8"/>
      <c r="DE27" s="20" t="s">
        <v>213</v>
      </c>
      <c r="DF27" s="8">
        <f t="shared" ref="DF27:EC27" si="45">(DF26*AD26+DF28*AD28)/AD25</f>
        <v>0</v>
      </c>
      <c r="DG27" s="8" t="e">
        <f t="shared" si="45"/>
        <v>#VALUE!</v>
      </c>
      <c r="DH27" s="8">
        <f t="shared" si="45"/>
        <v>0</v>
      </c>
      <c r="DI27" s="8">
        <f t="shared" si="45"/>
        <v>0</v>
      </c>
      <c r="DJ27" s="8">
        <f t="shared" si="45"/>
        <v>0</v>
      </c>
      <c r="DK27" s="8">
        <f t="shared" si="45"/>
        <v>0</v>
      </c>
      <c r="DL27" s="8">
        <f t="shared" si="45"/>
        <v>0</v>
      </c>
      <c r="DM27" s="8">
        <f t="shared" si="45"/>
        <v>0</v>
      </c>
      <c r="DN27" s="8">
        <f t="shared" si="45"/>
        <v>0</v>
      </c>
      <c r="DO27" s="8">
        <f t="shared" si="45"/>
        <v>0</v>
      </c>
      <c r="DP27" s="8">
        <f t="shared" si="45"/>
        <v>0</v>
      </c>
      <c r="DQ27" s="8">
        <f t="shared" si="45"/>
        <v>0</v>
      </c>
      <c r="DR27" s="8">
        <f t="shared" si="45"/>
        <v>0</v>
      </c>
      <c r="DS27" s="8">
        <f t="shared" si="45"/>
        <v>0</v>
      </c>
      <c r="DT27" s="8">
        <f t="shared" si="45"/>
        <v>0</v>
      </c>
      <c r="DU27" s="8">
        <f t="shared" si="45"/>
        <v>0</v>
      </c>
      <c r="DV27" s="8">
        <f t="shared" si="45"/>
        <v>0</v>
      </c>
      <c r="DW27" s="8">
        <f t="shared" si="45"/>
        <v>0</v>
      </c>
      <c r="DX27" s="8">
        <f t="shared" si="45"/>
        <v>0</v>
      </c>
      <c r="DY27" s="8">
        <f t="shared" si="45"/>
        <v>0</v>
      </c>
      <c r="DZ27" s="8">
        <f t="shared" si="45"/>
        <v>0.80333874674429284</v>
      </c>
      <c r="EA27" s="8">
        <f t="shared" si="45"/>
        <v>0.83517256265739293</v>
      </c>
      <c r="EB27" s="8">
        <f t="shared" si="45"/>
        <v>0.80649304558463308</v>
      </c>
      <c r="EC27" s="8">
        <f t="shared" si="45"/>
        <v>0.7624706583279357</v>
      </c>
      <c r="ED27" s="8">
        <f>(ED26*SUM(AD26:BA26)+ED28*SUM(AD28:BA28))/SUM(AD25:BA25)</f>
        <v>3.848495685583648E-5</v>
      </c>
      <c r="EE27" s="8">
        <f>(EE26*BC26+EE28+BC28)/BC25</f>
        <v>2.2987031314846553</v>
      </c>
    </row>
    <row r="28" spans="1:145">
      <c r="A28" s="20" t="s">
        <v>67</v>
      </c>
      <c r="B28" s="18">
        <f>+B21-B27</f>
        <v>165.9591836734694</v>
      </c>
      <c r="C28" s="18">
        <f t="shared" ref="C28:Y28" si="46">+C21-C27</f>
        <v>251.76253298153034</v>
      </c>
      <c r="D28" s="18">
        <f t="shared" si="46"/>
        <v>418.55728632916578</v>
      </c>
      <c r="E28" s="18">
        <f t="shared" si="46"/>
        <v>811.20646847435478</v>
      </c>
      <c r="F28" s="18">
        <f t="shared" si="46"/>
        <v>1564.1303376073402</v>
      </c>
      <c r="G28" s="18">
        <f t="shared" si="46"/>
        <v>3319.5668240368359</v>
      </c>
      <c r="H28" s="18">
        <f t="shared" si="46"/>
        <v>5427.214486982004</v>
      </c>
      <c r="I28" s="18">
        <f t="shared" si="46"/>
        <v>6484.2995423229149</v>
      </c>
      <c r="J28" s="18">
        <f t="shared" si="46"/>
        <v>7368.6474953617808</v>
      </c>
      <c r="K28" s="18">
        <f t="shared" si="46"/>
        <v>8429.0759199836139</v>
      </c>
      <c r="L28" s="18">
        <f t="shared" si="46"/>
        <v>9191.9281767955799</v>
      </c>
      <c r="M28" s="18">
        <f t="shared" si="46"/>
        <v>9428.2658946737702</v>
      </c>
      <c r="N28" s="18">
        <f t="shared" si="46"/>
        <v>9089.533673637412</v>
      </c>
      <c r="O28" s="18">
        <f t="shared" si="46"/>
        <v>8275.8661232168051</v>
      </c>
      <c r="P28" s="18">
        <f t="shared" si="46"/>
        <v>7273.6408379240356</v>
      </c>
      <c r="Q28" s="18">
        <f t="shared" si="46"/>
        <v>5775.2946156451071</v>
      </c>
      <c r="R28" s="18">
        <f t="shared" si="46"/>
        <v>4214.9792044790356</v>
      </c>
      <c r="S28" s="18">
        <f t="shared" si="46"/>
        <v>2850.3347976446394</v>
      </c>
      <c r="T28" s="18">
        <f t="shared" si="46"/>
        <v>1693.8763301016788</v>
      </c>
      <c r="U28" s="18">
        <f t="shared" si="46"/>
        <v>804.79675747952524</v>
      </c>
      <c r="V28" s="18">
        <f t="shared" si="46"/>
        <v>428.72499244484743</v>
      </c>
      <c r="W28" s="18">
        <f t="shared" si="46"/>
        <v>217.32822477650063</v>
      </c>
      <c r="X28" s="18">
        <f t="shared" si="46"/>
        <v>108.46835443037975</v>
      </c>
      <c r="Y28" s="18">
        <f t="shared" si="46"/>
        <v>59.997275204359674</v>
      </c>
      <c r="AX28" s="8">
        <f>+Z21/B28</f>
        <v>0.7652484013772749</v>
      </c>
      <c r="AY28" s="8">
        <f t="shared" ref="AY28:BU28" si="47">+AA21/C28</f>
        <v>0.75070741369552918</v>
      </c>
      <c r="AZ28" s="8">
        <f t="shared" si="47"/>
        <v>0.72152608463372514</v>
      </c>
      <c r="BA28" s="8">
        <f t="shared" si="47"/>
        <v>0.68786433748418818</v>
      </c>
      <c r="BB28" s="8">
        <f t="shared" si="47"/>
        <v>0.63549691231008787</v>
      </c>
      <c r="BC28" s="8">
        <f t="shared" si="47"/>
        <v>0.60278949214423039</v>
      </c>
      <c r="BD28" s="8">
        <f t="shared" si="47"/>
        <v>0.57340648825739304</v>
      </c>
      <c r="BE28" s="8">
        <f t="shared" si="47"/>
        <v>0.54917265569818485</v>
      </c>
      <c r="BF28" s="8">
        <f t="shared" si="47"/>
        <v>0.50104174508604749</v>
      </c>
      <c r="BG28" s="8">
        <f t="shared" si="47"/>
        <v>0.46636191645639397</v>
      </c>
      <c r="BH28" s="8">
        <f t="shared" si="47"/>
        <v>0.44256220476889707</v>
      </c>
      <c r="BI28" s="8">
        <f t="shared" si="47"/>
        <v>0.41449828034736624</v>
      </c>
      <c r="BJ28" s="8">
        <f t="shared" si="47"/>
        <v>0.40497127049279663</v>
      </c>
      <c r="BK28" s="8">
        <f t="shared" si="47"/>
        <v>0.37820814805343639</v>
      </c>
      <c r="BL28" s="8">
        <f t="shared" si="47"/>
        <v>0.36900364752764425</v>
      </c>
      <c r="BM28" s="8">
        <f t="shared" si="47"/>
        <v>0.3596353326068365</v>
      </c>
      <c r="BN28" s="8">
        <f t="shared" si="47"/>
        <v>0.34923066724404794</v>
      </c>
      <c r="BO28" s="8">
        <f t="shared" si="47"/>
        <v>0.33224167237566232</v>
      </c>
      <c r="BP28" s="8">
        <f t="shared" si="47"/>
        <v>0.3376869903871107</v>
      </c>
      <c r="BQ28" s="8">
        <f t="shared" si="47"/>
        <v>0.30690978524013734</v>
      </c>
      <c r="BR28" s="8">
        <f t="shared" si="47"/>
        <v>0.31955216610709747</v>
      </c>
      <c r="BS28" s="8">
        <f t="shared" si="47"/>
        <v>0.27608010906868508</v>
      </c>
      <c r="BT28" s="8">
        <f t="shared" si="47"/>
        <v>0.25813980627844557</v>
      </c>
      <c r="BU28" s="8">
        <f t="shared" si="47"/>
        <v>0.21667650665334484</v>
      </c>
      <c r="BX28" s="7">
        <f>+BW21/SUM(B28:Y28)</f>
        <v>0.44302690008661616</v>
      </c>
      <c r="BY28" t="s">
        <v>374</v>
      </c>
      <c r="CA28" s="20" t="s">
        <v>207</v>
      </c>
      <c r="CB28" s="8">
        <f>AX28</f>
        <v>0.7652484013772749</v>
      </c>
      <c r="CC28" s="8">
        <f t="shared" ref="CC28:CY28" si="48">AY28</f>
        <v>0.75070741369552918</v>
      </c>
      <c r="CD28" s="8">
        <f t="shared" si="48"/>
        <v>0.72152608463372514</v>
      </c>
      <c r="CE28" s="8">
        <f t="shared" si="48"/>
        <v>0.68786433748418818</v>
      </c>
      <c r="CF28" s="8">
        <f t="shared" si="48"/>
        <v>0.63549691231008787</v>
      </c>
      <c r="CG28" s="8">
        <f t="shared" si="48"/>
        <v>0.60278949214423039</v>
      </c>
      <c r="CH28" s="8">
        <f t="shared" si="48"/>
        <v>0.57340648825739304</v>
      </c>
      <c r="CI28" s="8">
        <f t="shared" si="48"/>
        <v>0.54917265569818485</v>
      </c>
      <c r="CJ28" s="8">
        <f t="shared" si="48"/>
        <v>0.50104174508604749</v>
      </c>
      <c r="CK28" s="8">
        <f t="shared" si="48"/>
        <v>0.46636191645639397</v>
      </c>
      <c r="CL28" s="8">
        <f t="shared" si="48"/>
        <v>0.44256220476889707</v>
      </c>
      <c r="CM28" s="8">
        <f t="shared" si="48"/>
        <v>0.41449828034736624</v>
      </c>
      <c r="CN28" s="8">
        <f t="shared" si="48"/>
        <v>0.40497127049279663</v>
      </c>
      <c r="CO28" s="8">
        <f t="shared" si="48"/>
        <v>0.37820814805343639</v>
      </c>
      <c r="CP28" s="8">
        <f t="shared" si="48"/>
        <v>0.36900364752764425</v>
      </c>
      <c r="CQ28" s="8">
        <f t="shared" si="48"/>
        <v>0.3596353326068365</v>
      </c>
      <c r="CR28" s="7">
        <f t="shared" si="48"/>
        <v>0.34923066724404794</v>
      </c>
      <c r="CS28" s="7">
        <v>0.34</v>
      </c>
      <c r="CT28" s="7">
        <v>0.33</v>
      </c>
      <c r="CU28" s="7">
        <v>0.32</v>
      </c>
      <c r="CV28" s="7">
        <v>0.3</v>
      </c>
      <c r="CW28" s="7">
        <f t="shared" si="48"/>
        <v>0.27608010906868508</v>
      </c>
      <c r="CX28" s="8">
        <f t="shared" si="48"/>
        <v>0.25813980627844557</v>
      </c>
      <c r="CY28" s="8">
        <f t="shared" si="48"/>
        <v>0.21667650665334484</v>
      </c>
      <c r="CZ28" s="8">
        <f>SUMPRODUCT(CB28:CY28,B28:Y28)/SUM(B28:Y28)</f>
        <v>0.44314697553091509</v>
      </c>
      <c r="DA28" s="8">
        <f>BX28</f>
        <v>0.44302690008661616</v>
      </c>
      <c r="DB28" s="8"/>
      <c r="DC28" s="8"/>
      <c r="DD28" t="s">
        <v>212</v>
      </c>
      <c r="DE28" s="20" t="s">
        <v>207</v>
      </c>
      <c r="DF28" s="8">
        <f t="shared" ref="DF28:DV28" si="49">BZ28</f>
        <v>0</v>
      </c>
      <c r="DG28" s="8" t="str">
        <f t="shared" si="49"/>
        <v>w-a conv%</v>
      </c>
      <c r="DH28" s="8">
        <f t="shared" si="49"/>
        <v>0.7652484013772749</v>
      </c>
      <c r="DI28" s="8">
        <f t="shared" si="49"/>
        <v>0.75070741369552918</v>
      </c>
      <c r="DJ28" s="8">
        <f t="shared" si="49"/>
        <v>0.72152608463372514</v>
      </c>
      <c r="DK28" s="8">
        <f t="shared" si="49"/>
        <v>0.68786433748418818</v>
      </c>
      <c r="DL28" s="8">
        <f t="shared" si="49"/>
        <v>0.63549691231008787</v>
      </c>
      <c r="DM28" s="8">
        <f t="shared" si="49"/>
        <v>0.60278949214423039</v>
      </c>
      <c r="DN28" s="8">
        <f t="shared" si="49"/>
        <v>0.57340648825739304</v>
      </c>
      <c r="DO28" s="8">
        <f t="shared" si="49"/>
        <v>0.54917265569818485</v>
      </c>
      <c r="DP28" s="8">
        <f t="shared" si="49"/>
        <v>0.50104174508604749</v>
      </c>
      <c r="DQ28" s="8">
        <f t="shared" si="49"/>
        <v>0.46636191645639397</v>
      </c>
      <c r="DR28" s="8">
        <f t="shared" si="49"/>
        <v>0.44256220476889707</v>
      </c>
      <c r="DS28" s="8">
        <f t="shared" si="49"/>
        <v>0.41449828034736624</v>
      </c>
      <c r="DT28" s="8">
        <f t="shared" si="49"/>
        <v>0.40497127049279663</v>
      </c>
      <c r="DU28" s="8">
        <f t="shared" si="49"/>
        <v>0.37820814805343639</v>
      </c>
      <c r="DV28" s="7">
        <f t="shared" si="49"/>
        <v>0.36900364752764425</v>
      </c>
      <c r="DW28" s="7">
        <v>0.34</v>
      </c>
      <c r="DX28" s="7">
        <v>0.33</v>
      </c>
      <c r="DY28" s="7">
        <v>0.32</v>
      </c>
      <c r="DZ28" s="7">
        <v>0.3</v>
      </c>
      <c r="EA28" s="7">
        <f>CU28</f>
        <v>0.32</v>
      </c>
      <c r="EB28" s="8">
        <f>CV28</f>
        <v>0.3</v>
      </c>
      <c r="EC28" s="8">
        <f>CW28</f>
        <v>0.27608010906868508</v>
      </c>
      <c r="ED28" s="8">
        <f>SUMPRODUCT(DF28:EC28,AD28:BA28)/SUM(AD28:BA28)</f>
        <v>0.29950792434893631</v>
      </c>
      <c r="EE28" s="8">
        <f>CZ28</f>
        <v>0.44314697553091509</v>
      </c>
    </row>
    <row r="29" spans="1:145">
      <c r="DG29" t="e">
        <f t="shared" ref="DG29:EC29" si="50">IF(DG27&gt;DF27,0,1)</f>
        <v>#VALUE!</v>
      </c>
      <c r="DH29" t="e">
        <f t="shared" si="50"/>
        <v>#VALUE!</v>
      </c>
      <c r="DI29">
        <f t="shared" si="50"/>
        <v>1</v>
      </c>
      <c r="DJ29">
        <f t="shared" si="50"/>
        <v>1</v>
      </c>
      <c r="DK29">
        <f t="shared" si="50"/>
        <v>1</v>
      </c>
      <c r="DL29">
        <f t="shared" si="50"/>
        <v>1</v>
      </c>
      <c r="DM29">
        <f t="shared" si="50"/>
        <v>1</v>
      </c>
      <c r="DN29">
        <f t="shared" si="50"/>
        <v>1</v>
      </c>
      <c r="DO29">
        <f t="shared" si="50"/>
        <v>1</v>
      </c>
      <c r="DP29">
        <f t="shared" si="50"/>
        <v>1</v>
      </c>
      <c r="DQ29">
        <f t="shared" si="50"/>
        <v>1</v>
      </c>
      <c r="DR29">
        <f t="shared" si="50"/>
        <v>1</v>
      </c>
      <c r="DS29">
        <f t="shared" si="50"/>
        <v>1</v>
      </c>
      <c r="DT29">
        <f t="shared" si="50"/>
        <v>1</v>
      </c>
      <c r="DU29">
        <f t="shared" si="50"/>
        <v>1</v>
      </c>
      <c r="DV29">
        <f t="shared" si="50"/>
        <v>1</v>
      </c>
      <c r="DW29">
        <f t="shared" si="50"/>
        <v>1</v>
      </c>
      <c r="DX29">
        <f t="shared" si="50"/>
        <v>1</v>
      </c>
      <c r="DY29">
        <f t="shared" si="50"/>
        <v>1</v>
      </c>
      <c r="DZ29">
        <f t="shared" si="50"/>
        <v>0</v>
      </c>
      <c r="EA29">
        <f t="shared" si="50"/>
        <v>0</v>
      </c>
      <c r="EB29">
        <f t="shared" si="50"/>
        <v>1</v>
      </c>
      <c r="EC29">
        <f t="shared" si="50"/>
        <v>1</v>
      </c>
    </row>
    <row r="30" spans="1:145">
      <c r="A30" s="19" t="s">
        <v>43</v>
      </c>
      <c r="B30" s="19" t="s">
        <v>59</v>
      </c>
      <c r="C30" s="19">
        <v>1.5</v>
      </c>
      <c r="D30" s="19">
        <v>2</v>
      </c>
      <c r="E30" s="19">
        <v>2.5</v>
      </c>
      <c r="F30" s="19">
        <v>3</v>
      </c>
      <c r="G30" s="19">
        <v>3.5</v>
      </c>
      <c r="H30" s="19">
        <v>4</v>
      </c>
      <c r="I30" s="19">
        <v>4.5</v>
      </c>
      <c r="J30" s="19">
        <v>5</v>
      </c>
      <c r="K30" s="19">
        <v>5.5</v>
      </c>
      <c r="L30" s="19">
        <v>6</v>
      </c>
      <c r="M30" s="19">
        <v>6.5</v>
      </c>
      <c r="N30" s="19">
        <v>7</v>
      </c>
      <c r="O30" s="19">
        <v>7.5</v>
      </c>
      <c r="P30" s="19">
        <v>8</v>
      </c>
      <c r="Q30" s="19">
        <v>8.5</v>
      </c>
      <c r="R30" s="19">
        <v>9</v>
      </c>
      <c r="S30" s="19">
        <v>9.5</v>
      </c>
      <c r="T30" s="19">
        <v>10</v>
      </c>
      <c r="U30" s="19">
        <v>10.5</v>
      </c>
      <c r="V30" s="19">
        <v>11</v>
      </c>
      <c r="W30" s="19">
        <v>11.5</v>
      </c>
      <c r="X30" s="19">
        <v>12</v>
      </c>
      <c r="Y30" s="19" t="s">
        <v>60</v>
      </c>
      <c r="Z30" s="19" t="s">
        <v>59</v>
      </c>
      <c r="AA30" s="19">
        <v>1.5</v>
      </c>
      <c r="AB30" s="19">
        <v>2</v>
      </c>
      <c r="AC30" s="19">
        <v>2.5</v>
      </c>
      <c r="AD30" s="19">
        <v>3</v>
      </c>
      <c r="AE30" s="19">
        <v>3.5</v>
      </c>
      <c r="AF30" s="19">
        <v>4</v>
      </c>
      <c r="AG30" s="19">
        <v>4.5</v>
      </c>
      <c r="AH30" s="19">
        <v>5</v>
      </c>
      <c r="AI30" s="19">
        <v>5.5</v>
      </c>
      <c r="AJ30" s="19">
        <v>6</v>
      </c>
      <c r="AK30" s="19">
        <v>6.5</v>
      </c>
      <c r="AL30" s="19">
        <v>7</v>
      </c>
      <c r="AM30" s="19">
        <v>7.5</v>
      </c>
      <c r="AN30" s="19">
        <v>8</v>
      </c>
      <c r="AO30" s="19">
        <v>8.5</v>
      </c>
      <c r="AP30" s="19">
        <v>9</v>
      </c>
      <c r="AQ30" s="19">
        <v>9.5</v>
      </c>
      <c r="AR30" s="19">
        <v>10</v>
      </c>
      <c r="AS30" s="19">
        <v>10.5</v>
      </c>
      <c r="AT30" s="19">
        <v>11</v>
      </c>
      <c r="AU30" s="19">
        <v>11.5</v>
      </c>
      <c r="AV30" s="19">
        <v>12</v>
      </c>
      <c r="AW30" s="19" t="s">
        <v>60</v>
      </c>
      <c r="AX30" s="19" t="s">
        <v>59</v>
      </c>
      <c r="AY30" s="19">
        <v>1.5</v>
      </c>
      <c r="AZ30" s="19">
        <v>2</v>
      </c>
      <c r="BA30" s="19">
        <v>2.5</v>
      </c>
      <c r="BB30" s="19">
        <v>3</v>
      </c>
      <c r="BC30" s="19">
        <v>3.5</v>
      </c>
      <c r="BD30" s="19">
        <v>4</v>
      </c>
      <c r="BE30" s="19">
        <v>4.5</v>
      </c>
      <c r="BF30" s="19">
        <v>5</v>
      </c>
      <c r="BG30" s="19">
        <v>5.5</v>
      </c>
      <c r="BH30" s="19">
        <v>6</v>
      </c>
      <c r="BI30" s="19">
        <v>6.5</v>
      </c>
      <c r="BJ30" s="19">
        <v>7</v>
      </c>
      <c r="BK30" s="19">
        <v>7.5</v>
      </c>
      <c r="BL30" s="19">
        <v>8</v>
      </c>
      <c r="BM30" s="19">
        <v>8.5</v>
      </c>
      <c r="BN30" s="19">
        <v>9</v>
      </c>
      <c r="BO30" s="19">
        <v>9.5</v>
      </c>
      <c r="BP30" s="19">
        <v>10</v>
      </c>
      <c r="BQ30" s="19">
        <v>10.5</v>
      </c>
      <c r="BR30" s="19">
        <v>11</v>
      </c>
      <c r="BS30" s="19">
        <v>11.5</v>
      </c>
      <c r="BT30" s="19">
        <v>12</v>
      </c>
      <c r="BU30" s="19" t="s">
        <v>60</v>
      </c>
      <c r="BV30" s="19"/>
      <c r="BW30" s="19"/>
      <c r="BX30" s="19"/>
      <c r="CA30" s="19" t="s">
        <v>43</v>
      </c>
      <c r="DE30" s="19" t="s">
        <v>43</v>
      </c>
      <c r="DH30" t="e">
        <f t="shared" ref="DH30:EC30" si="51">IF(DH29&gt;DG29,0,1)</f>
        <v>#VALUE!</v>
      </c>
      <c r="DI30" t="e">
        <f t="shared" si="51"/>
        <v>#VALUE!</v>
      </c>
      <c r="DJ30">
        <f t="shared" si="51"/>
        <v>1</v>
      </c>
      <c r="DK30">
        <f t="shared" si="51"/>
        <v>1</v>
      </c>
      <c r="DL30">
        <f t="shared" si="51"/>
        <v>1</v>
      </c>
      <c r="DM30">
        <f t="shared" si="51"/>
        <v>1</v>
      </c>
      <c r="DN30">
        <f t="shared" si="51"/>
        <v>1</v>
      </c>
      <c r="DO30">
        <f t="shared" si="51"/>
        <v>1</v>
      </c>
      <c r="DP30">
        <f t="shared" si="51"/>
        <v>1</v>
      </c>
      <c r="DQ30">
        <f t="shared" si="51"/>
        <v>1</v>
      </c>
      <c r="DR30">
        <f t="shared" si="51"/>
        <v>1</v>
      </c>
      <c r="DS30">
        <f t="shared" si="51"/>
        <v>1</v>
      </c>
      <c r="DT30">
        <f t="shared" si="51"/>
        <v>1</v>
      </c>
      <c r="DU30">
        <f t="shared" si="51"/>
        <v>1</v>
      </c>
      <c r="DV30">
        <f t="shared" si="51"/>
        <v>1</v>
      </c>
      <c r="DW30">
        <f t="shared" si="51"/>
        <v>1</v>
      </c>
      <c r="DX30">
        <f t="shared" si="51"/>
        <v>1</v>
      </c>
      <c r="DY30">
        <f t="shared" si="51"/>
        <v>1</v>
      </c>
      <c r="DZ30">
        <f t="shared" si="51"/>
        <v>1</v>
      </c>
      <c r="EA30">
        <f t="shared" si="51"/>
        <v>1</v>
      </c>
      <c r="EB30">
        <f t="shared" si="51"/>
        <v>0</v>
      </c>
      <c r="EC30">
        <f t="shared" si="51"/>
        <v>1</v>
      </c>
    </row>
    <row r="31" spans="1:145">
      <c r="A31" s="20" t="s">
        <v>45</v>
      </c>
      <c r="B31">
        <v>8</v>
      </c>
      <c r="C31">
        <v>3</v>
      </c>
      <c r="D31">
        <v>9</v>
      </c>
      <c r="E31">
        <v>19</v>
      </c>
      <c r="F31">
        <v>31</v>
      </c>
      <c r="G31">
        <v>56</v>
      </c>
      <c r="H31">
        <v>86</v>
      </c>
      <c r="I31">
        <v>109</v>
      </c>
      <c r="J31">
        <v>112</v>
      </c>
      <c r="K31">
        <v>173</v>
      </c>
      <c r="L31">
        <v>142</v>
      </c>
      <c r="M31">
        <v>196</v>
      </c>
      <c r="N31">
        <v>230</v>
      </c>
      <c r="O31">
        <v>211</v>
      </c>
      <c r="P31">
        <v>260</v>
      </c>
      <c r="Q31">
        <v>239</v>
      </c>
      <c r="R31">
        <v>207</v>
      </c>
      <c r="S31">
        <v>153</v>
      </c>
      <c r="T31">
        <v>105</v>
      </c>
      <c r="U31">
        <v>52</v>
      </c>
      <c r="V31">
        <v>36</v>
      </c>
      <c r="W31">
        <v>19</v>
      </c>
      <c r="X31">
        <v>8</v>
      </c>
      <c r="Y31">
        <v>7</v>
      </c>
      <c r="Z31">
        <v>8</v>
      </c>
      <c r="AA31">
        <v>3</v>
      </c>
      <c r="AB31">
        <v>6</v>
      </c>
      <c r="AC31">
        <v>15</v>
      </c>
      <c r="AD31">
        <v>28</v>
      </c>
      <c r="AE31">
        <v>51</v>
      </c>
      <c r="AF31">
        <v>73</v>
      </c>
      <c r="AG31">
        <v>74</v>
      </c>
      <c r="AH31">
        <v>87</v>
      </c>
      <c r="AI31">
        <v>123</v>
      </c>
      <c r="AJ31">
        <v>101</v>
      </c>
      <c r="AK31">
        <v>144</v>
      </c>
      <c r="AL31">
        <v>176</v>
      </c>
      <c r="AM31">
        <v>145</v>
      </c>
      <c r="AN31">
        <v>178</v>
      </c>
      <c r="AO31">
        <v>162</v>
      </c>
      <c r="AP31">
        <v>147</v>
      </c>
      <c r="AQ31">
        <v>105</v>
      </c>
      <c r="AR31">
        <v>73</v>
      </c>
      <c r="AS31">
        <v>38</v>
      </c>
      <c r="AT31">
        <v>22</v>
      </c>
      <c r="AU31">
        <v>11</v>
      </c>
      <c r="AV31">
        <v>6</v>
      </c>
      <c r="AW31">
        <v>4</v>
      </c>
      <c r="AX31" s="8">
        <v>1</v>
      </c>
      <c r="AY31" s="8">
        <v>1</v>
      </c>
      <c r="AZ31" s="8">
        <v>0.66666666666666663</v>
      </c>
      <c r="BA31" s="8">
        <v>0.78947368421052633</v>
      </c>
      <c r="BB31" s="8">
        <v>0.90322580645161288</v>
      </c>
      <c r="BC31" s="8">
        <v>0.9107142857142857</v>
      </c>
      <c r="BD31" s="8">
        <v>0.84883720930232553</v>
      </c>
      <c r="BE31" s="8">
        <v>0.67889908256880738</v>
      </c>
      <c r="BF31" s="8">
        <v>0.7767857142857143</v>
      </c>
      <c r="BG31" s="8">
        <v>0.71098265895953761</v>
      </c>
      <c r="BH31" s="8">
        <v>0.71126760563380287</v>
      </c>
      <c r="BI31" s="8">
        <v>0.73469387755102045</v>
      </c>
      <c r="BJ31" s="8">
        <v>0.76521739130434785</v>
      </c>
      <c r="BK31" s="8">
        <v>0.6872037914691943</v>
      </c>
      <c r="BL31" s="8">
        <v>0.68461538461538463</v>
      </c>
      <c r="BM31" s="8">
        <v>0.67782426778242677</v>
      </c>
      <c r="BN31" s="8">
        <v>0.71014492753623193</v>
      </c>
      <c r="BO31" s="8">
        <v>0.68627450980392157</v>
      </c>
      <c r="BP31" s="8">
        <v>0.69523809523809521</v>
      </c>
      <c r="BQ31" s="8">
        <v>0.73076923076923073</v>
      </c>
      <c r="BR31" s="8">
        <v>0.61111111111111116</v>
      </c>
      <c r="BS31" s="8">
        <v>0.57894736842105265</v>
      </c>
      <c r="BT31" s="8">
        <v>0.75</v>
      </c>
      <c r="BU31" s="8">
        <v>0.5714285714285714</v>
      </c>
      <c r="BV31">
        <v>2471</v>
      </c>
      <c r="BW31">
        <v>1780</v>
      </c>
      <c r="BX31" s="8">
        <v>0.72035613112100361</v>
      </c>
      <c r="CA31" s="20" t="s">
        <v>45</v>
      </c>
      <c r="CB31" s="8">
        <f>AVERAGE(CB9:CB12,CB14,CB16,CB19,CB20,CB26,CB28)</f>
        <v>0.67570342959305729</v>
      </c>
      <c r="CC31" s="8">
        <f t="shared" ref="CC31:CY31" si="52">AVERAGE(CC9:CC12,CC14,CC16,CC19,CC20,CC26,CC28)</f>
        <v>0.65378153606966871</v>
      </c>
      <c r="CD31" s="8">
        <f t="shared" si="52"/>
        <v>0.63264211554755245</v>
      </c>
      <c r="CE31" s="8">
        <f t="shared" si="52"/>
        <v>0.60609672479481891</v>
      </c>
      <c r="CF31" s="8">
        <f t="shared" si="52"/>
        <v>0.57545163822810008</v>
      </c>
      <c r="CG31" s="8">
        <f t="shared" si="52"/>
        <v>0.55022465269975229</v>
      </c>
      <c r="CH31" s="8">
        <f t="shared" si="52"/>
        <v>0.52383560448377509</v>
      </c>
      <c r="CI31" s="8">
        <f t="shared" si="52"/>
        <v>0.494055006010515</v>
      </c>
      <c r="CJ31" s="8">
        <f t="shared" si="52"/>
        <v>0.47039245575872901</v>
      </c>
      <c r="CK31" s="8">
        <f t="shared" si="52"/>
        <v>0.441215153598704</v>
      </c>
      <c r="CL31" s="8">
        <f t="shared" si="52"/>
        <v>0.42241862626580601</v>
      </c>
      <c r="CM31" s="8">
        <f t="shared" si="52"/>
        <v>0.40437876985754412</v>
      </c>
      <c r="CN31" s="8">
        <f t="shared" si="52"/>
        <v>0.39168927255724545</v>
      </c>
      <c r="CO31" s="8">
        <f t="shared" si="52"/>
        <v>0.37662369113344935</v>
      </c>
      <c r="CP31" s="8">
        <f t="shared" si="52"/>
        <v>0.36737770513746104</v>
      </c>
      <c r="CQ31" s="8">
        <f t="shared" si="52"/>
        <v>0.35650275772057022</v>
      </c>
      <c r="CR31" s="8">
        <f t="shared" si="52"/>
        <v>0.34481899973828678</v>
      </c>
      <c r="CS31" s="8">
        <f t="shared" si="52"/>
        <v>0.33334193592931732</v>
      </c>
      <c r="CT31" s="8">
        <f t="shared" si="52"/>
        <v>0.32297172218447301</v>
      </c>
      <c r="CU31" s="8">
        <f t="shared" si="52"/>
        <v>0.3133925122168465</v>
      </c>
      <c r="CV31" s="8">
        <f t="shared" si="52"/>
        <v>0.30161968235656189</v>
      </c>
      <c r="CW31" s="8">
        <f t="shared" si="52"/>
        <v>0.28963032817646195</v>
      </c>
      <c r="CX31" s="8">
        <f t="shared" si="52"/>
        <v>0.27712286676308395</v>
      </c>
      <c r="CY31" s="8">
        <f t="shared" si="52"/>
        <v>0.26183264097854453</v>
      </c>
      <c r="CZ31" s="8">
        <f>AVERAGE(CZ9:CZ20,CZ26,CZ28)</f>
        <v>0.42025812276494146</v>
      </c>
      <c r="DE31" s="20" t="s">
        <v>45</v>
      </c>
      <c r="DF31" s="8">
        <f>AVERAGE(DF9:DF12,DF14,DF16,DF19:DF22)</f>
        <v>0.72623639915998361</v>
      </c>
      <c r="DG31" s="8">
        <f t="shared" ref="DG31:ED31" si="53">AVERAGE(DG9:DG12,DG14,DG16,DG19:DG22)</f>
        <v>0.70460847851837671</v>
      </c>
      <c r="DH31" s="8">
        <f t="shared" si="53"/>
        <v>0.68297805284313318</v>
      </c>
      <c r="DI31" s="8">
        <f t="shared" si="53"/>
        <v>0.66084644970407691</v>
      </c>
      <c r="DJ31" s="8">
        <f t="shared" si="53"/>
        <v>0.62864836383107625</v>
      </c>
      <c r="DK31" s="8">
        <f t="shared" si="53"/>
        <v>0.60538939623971133</v>
      </c>
      <c r="DL31" s="8">
        <f t="shared" si="53"/>
        <v>0.58066924905910167</v>
      </c>
      <c r="DM31" s="8">
        <f t="shared" si="53"/>
        <v>0.54569898172489917</v>
      </c>
      <c r="DN31" s="8">
        <f t="shared" si="53"/>
        <v>0.51908432402206151</v>
      </c>
      <c r="DO31" s="8">
        <f t="shared" si="53"/>
        <v>0.48621797122406613</v>
      </c>
      <c r="DP31" s="8">
        <f t="shared" si="53"/>
        <v>0.4642261018379199</v>
      </c>
      <c r="DQ31" s="8">
        <f t="shared" si="53"/>
        <v>0.44321956708316856</v>
      </c>
      <c r="DR31" s="8">
        <f t="shared" si="53"/>
        <v>0.42900987005312308</v>
      </c>
      <c r="DS31" s="8">
        <f t="shared" si="53"/>
        <v>0.41171254815707059</v>
      </c>
      <c r="DT31" s="8">
        <f t="shared" si="53"/>
        <v>0.40139879699644415</v>
      </c>
      <c r="DU31" s="8">
        <f t="shared" si="53"/>
        <v>0.38832834602287047</v>
      </c>
      <c r="DV31" s="8">
        <f t="shared" si="53"/>
        <v>0.37380951369008397</v>
      </c>
      <c r="DW31" s="8">
        <f t="shared" si="53"/>
        <v>0.36152317269805673</v>
      </c>
      <c r="DX31" s="8">
        <f t="shared" si="53"/>
        <v>0.34968461232351999</v>
      </c>
      <c r="DY31" s="8">
        <f t="shared" si="53"/>
        <v>0.33845603582290301</v>
      </c>
      <c r="DZ31" s="8">
        <f t="shared" si="53"/>
        <v>0.32399583869437143</v>
      </c>
      <c r="EA31" s="8">
        <f t="shared" si="53"/>
        <v>0.30998609968806518</v>
      </c>
      <c r="EB31" s="8">
        <f t="shared" si="53"/>
        <v>0.29600157743510169</v>
      </c>
      <c r="EC31" s="8">
        <f t="shared" si="53"/>
        <v>0.27856341352804731</v>
      </c>
      <c r="ED31" s="8">
        <f t="shared" si="53"/>
        <v>0.45128207791532998</v>
      </c>
    </row>
    <row r="32" spans="1:145">
      <c r="A32" s="20" t="s">
        <v>47</v>
      </c>
      <c r="B32">
        <v>2</v>
      </c>
      <c r="C32">
        <v>5</v>
      </c>
      <c r="D32">
        <v>9</v>
      </c>
      <c r="E32">
        <v>16</v>
      </c>
      <c r="F32">
        <v>20</v>
      </c>
      <c r="G32">
        <v>44</v>
      </c>
      <c r="H32">
        <v>56</v>
      </c>
      <c r="I32">
        <v>104</v>
      </c>
      <c r="J32">
        <v>92</v>
      </c>
      <c r="K32">
        <v>131</v>
      </c>
      <c r="L32">
        <v>108</v>
      </c>
      <c r="M32">
        <v>169</v>
      </c>
      <c r="N32">
        <v>200</v>
      </c>
      <c r="O32">
        <v>202</v>
      </c>
      <c r="P32">
        <v>227</v>
      </c>
      <c r="Q32">
        <v>198</v>
      </c>
      <c r="R32">
        <v>199</v>
      </c>
      <c r="S32">
        <v>159</v>
      </c>
      <c r="T32">
        <v>118</v>
      </c>
      <c r="U32">
        <v>77</v>
      </c>
      <c r="V32">
        <v>39</v>
      </c>
      <c r="W32">
        <v>16</v>
      </c>
      <c r="X32">
        <v>10</v>
      </c>
      <c r="Y32">
        <v>4</v>
      </c>
      <c r="Z32">
        <v>1</v>
      </c>
      <c r="AA32">
        <v>4</v>
      </c>
      <c r="AB32">
        <v>6</v>
      </c>
      <c r="AC32">
        <v>14</v>
      </c>
      <c r="AD32">
        <v>16</v>
      </c>
      <c r="AE32">
        <v>34</v>
      </c>
      <c r="AF32">
        <v>45</v>
      </c>
      <c r="AG32">
        <v>87</v>
      </c>
      <c r="AH32">
        <v>71</v>
      </c>
      <c r="AI32">
        <v>112</v>
      </c>
      <c r="AJ32">
        <v>81</v>
      </c>
      <c r="AK32">
        <v>121</v>
      </c>
      <c r="AL32">
        <v>148</v>
      </c>
      <c r="AM32">
        <v>146</v>
      </c>
      <c r="AN32">
        <v>169</v>
      </c>
      <c r="AO32">
        <v>133</v>
      </c>
      <c r="AP32">
        <v>124</v>
      </c>
      <c r="AQ32">
        <v>91</v>
      </c>
      <c r="AR32">
        <v>85</v>
      </c>
      <c r="AS32">
        <v>51</v>
      </c>
      <c r="AT32">
        <v>23</v>
      </c>
      <c r="AU32">
        <v>11</v>
      </c>
      <c r="AV32">
        <v>6</v>
      </c>
      <c r="AW32">
        <v>1</v>
      </c>
      <c r="AX32" s="8">
        <v>0.5</v>
      </c>
      <c r="AY32" s="8">
        <v>0.8</v>
      </c>
      <c r="AZ32" s="8">
        <v>0.66666666666666663</v>
      </c>
      <c r="BA32" s="8">
        <v>0.875</v>
      </c>
      <c r="BB32" s="8">
        <v>0.8</v>
      </c>
      <c r="BC32" s="8">
        <v>0.77272727272727271</v>
      </c>
      <c r="BD32" s="8">
        <v>0.8035714285714286</v>
      </c>
      <c r="BE32" s="8">
        <v>0.83653846153846156</v>
      </c>
      <c r="BF32" s="8">
        <v>0.77173913043478259</v>
      </c>
      <c r="BG32" s="8">
        <v>0.85496183206106868</v>
      </c>
      <c r="BH32" s="8">
        <v>0.75</v>
      </c>
      <c r="BI32" s="8">
        <v>0.71597633136094674</v>
      </c>
      <c r="BJ32" s="8">
        <v>0.74</v>
      </c>
      <c r="BK32" s="8">
        <v>0.72277227722772275</v>
      </c>
      <c r="BL32" s="8">
        <v>0.74449339207048459</v>
      </c>
      <c r="BM32" s="8">
        <v>0.67171717171717171</v>
      </c>
      <c r="BN32" s="8">
        <v>0.62311557788944727</v>
      </c>
      <c r="BO32" s="8">
        <v>0.57232704402515722</v>
      </c>
      <c r="BP32" s="8">
        <v>0.72033898305084743</v>
      </c>
      <c r="BQ32" s="8">
        <v>0.66233766233766234</v>
      </c>
      <c r="BR32" s="8">
        <v>0.58974358974358976</v>
      </c>
      <c r="BS32" s="8">
        <v>0.6875</v>
      </c>
      <c r="BT32" s="8">
        <v>0.6</v>
      </c>
      <c r="BU32" s="8">
        <v>0.25</v>
      </c>
      <c r="BV32">
        <v>2205</v>
      </c>
      <c r="BW32">
        <v>1580</v>
      </c>
      <c r="BX32" s="8">
        <v>0.71655328798185947</v>
      </c>
      <c r="CA32" s="20" t="s">
        <v>47</v>
      </c>
      <c r="CB32" s="6">
        <f>+CB31/$CZ31</f>
        <v>1.6078295528174511</v>
      </c>
      <c r="CC32" s="6">
        <f t="shared" ref="CC32:CY32" si="54">+CC31/$CZ31</f>
        <v>1.5556666264255443</v>
      </c>
      <c r="CD32" s="6">
        <f t="shared" si="54"/>
        <v>1.5053655867144333</v>
      </c>
      <c r="CE32" s="6">
        <f t="shared" si="54"/>
        <v>1.4422010949061908</v>
      </c>
      <c r="CF32" s="6">
        <f t="shared" si="54"/>
        <v>1.3692814179107762</v>
      </c>
      <c r="CG32" s="6">
        <f t="shared" si="54"/>
        <v>1.3092540581482197</v>
      </c>
      <c r="CH32" s="6">
        <f t="shared" si="54"/>
        <v>1.2464615818425633</v>
      </c>
      <c r="CI32" s="6">
        <f t="shared" si="54"/>
        <v>1.1755989456195461</v>
      </c>
      <c r="CJ32" s="6">
        <f t="shared" si="54"/>
        <v>1.1192941439512132</v>
      </c>
      <c r="CK32" s="6">
        <f t="shared" si="54"/>
        <v>1.0498670452718037</v>
      </c>
      <c r="CL32" s="6">
        <f t="shared" si="54"/>
        <v>1.0051408964725066</v>
      </c>
      <c r="CM32" s="6">
        <f t="shared" si="54"/>
        <v>0.96221523857070346</v>
      </c>
      <c r="CN32" s="6">
        <f t="shared" si="54"/>
        <v>0.9320207066558589</v>
      </c>
      <c r="CO32" s="6">
        <f t="shared" si="54"/>
        <v>0.89617230633303502</v>
      </c>
      <c r="CP32" s="6">
        <f t="shared" si="54"/>
        <v>0.87417157512727606</v>
      </c>
      <c r="CQ32" s="6">
        <f t="shared" si="54"/>
        <v>0.84829474651217895</v>
      </c>
      <c r="CR32" s="6">
        <f t="shared" si="54"/>
        <v>0.82049336124587113</v>
      </c>
      <c r="CS32" s="6">
        <f t="shared" si="54"/>
        <v>0.79318380269775757</v>
      </c>
      <c r="CT32" s="6">
        <f t="shared" si="54"/>
        <v>0.76850798280731236</v>
      </c>
      <c r="CU32" s="6">
        <f t="shared" si="54"/>
        <v>0.74571434849370666</v>
      </c>
      <c r="CV32" s="6">
        <f t="shared" si="54"/>
        <v>0.71770101758452776</v>
      </c>
      <c r="CW32" s="6">
        <f t="shared" si="54"/>
        <v>0.6891724692218687</v>
      </c>
      <c r="CX32" s="6">
        <f t="shared" si="54"/>
        <v>0.65941108987936004</v>
      </c>
      <c r="CY32" s="6">
        <f t="shared" si="54"/>
        <v>0.62302815054687855</v>
      </c>
      <c r="DE32" s="20" t="s">
        <v>47</v>
      </c>
      <c r="DF32" s="6">
        <f>+DF31/$ED31</f>
        <v>1.609273744073304</v>
      </c>
      <c r="DG32" s="6">
        <f t="shared" ref="DG32:EB32" si="55">+DG31/$ED31</f>
        <v>1.5613482409345227</v>
      </c>
      <c r="DH32" s="6">
        <f t="shared" si="55"/>
        <v>1.5134171868692605</v>
      </c>
      <c r="DI32" s="6">
        <f t="shared" si="55"/>
        <v>1.4643755691713192</v>
      </c>
      <c r="DJ32" s="6">
        <f t="shared" si="55"/>
        <v>1.3930275421862064</v>
      </c>
      <c r="DK32" s="6">
        <f t="shared" si="55"/>
        <v>1.3414877874970588</v>
      </c>
      <c r="DL32" s="6">
        <f t="shared" si="55"/>
        <v>1.2867101918637402</v>
      </c>
      <c r="DM32" s="6">
        <f t="shared" si="55"/>
        <v>1.2092192631396361</v>
      </c>
      <c r="DN32" s="6">
        <f t="shared" si="55"/>
        <v>1.1502436046650464</v>
      </c>
      <c r="DO32" s="6">
        <f t="shared" si="55"/>
        <v>1.0774147590130776</v>
      </c>
      <c r="DP32" s="6">
        <f t="shared" si="55"/>
        <v>1.0286827785902424</v>
      </c>
      <c r="DQ32" s="6">
        <f t="shared" si="55"/>
        <v>0.98213421000584444</v>
      </c>
      <c r="DR32" s="6">
        <f t="shared" si="55"/>
        <v>0.95064681503619197</v>
      </c>
      <c r="DS32" s="6">
        <f t="shared" si="55"/>
        <v>0.91231752446042524</v>
      </c>
      <c r="DT32" s="6">
        <f t="shared" si="55"/>
        <v>0.88946319085101144</v>
      </c>
      <c r="DU32" s="6">
        <f t="shared" si="55"/>
        <v>0.86050026142569092</v>
      </c>
      <c r="DV32" s="6">
        <f t="shared" si="55"/>
        <v>0.82832785076880122</v>
      </c>
      <c r="DW32" s="6">
        <f t="shared" si="55"/>
        <v>0.80110243767731915</v>
      </c>
      <c r="DX32" s="6">
        <f t="shared" si="55"/>
        <v>0.77486926566830816</v>
      </c>
      <c r="DY32" s="6">
        <f t="shared" si="55"/>
        <v>0.74998776239105269</v>
      </c>
      <c r="DZ32" s="6">
        <f t="shared" si="55"/>
        <v>0.7179452820086506</v>
      </c>
      <c r="EA32" s="6">
        <f t="shared" si="55"/>
        <v>0.6869009758154524</v>
      </c>
      <c r="EB32" s="6">
        <f t="shared" si="55"/>
        <v>0.65591254765193185</v>
      </c>
      <c r="EC32" s="6">
        <f>+EC31/$CZ31</f>
        <v>0.66283885649927876</v>
      </c>
    </row>
    <row r="33" spans="1:109">
      <c r="A33" s="20" t="s">
        <v>50</v>
      </c>
      <c r="C33">
        <v>3</v>
      </c>
      <c r="D33">
        <v>1</v>
      </c>
      <c r="F33">
        <v>1</v>
      </c>
      <c r="G33">
        <v>5</v>
      </c>
      <c r="H33">
        <v>8</v>
      </c>
      <c r="I33">
        <v>14</v>
      </c>
      <c r="J33">
        <v>7</v>
      </c>
      <c r="K33">
        <v>14</v>
      </c>
      <c r="L33">
        <v>12</v>
      </c>
      <c r="M33">
        <v>13</v>
      </c>
      <c r="N33">
        <v>21</v>
      </c>
      <c r="O33">
        <v>15</v>
      </c>
      <c r="P33">
        <v>12</v>
      </c>
      <c r="Q33">
        <v>13</v>
      </c>
      <c r="R33">
        <v>13</v>
      </c>
      <c r="S33">
        <v>4</v>
      </c>
      <c r="T33">
        <v>9</v>
      </c>
      <c r="U33">
        <v>4</v>
      </c>
      <c r="W33">
        <v>2</v>
      </c>
      <c r="Y33">
        <v>2</v>
      </c>
      <c r="AA33">
        <v>3</v>
      </c>
      <c r="AB33">
        <v>0</v>
      </c>
      <c r="AD33">
        <v>1</v>
      </c>
      <c r="AE33">
        <v>5</v>
      </c>
      <c r="AF33">
        <v>7</v>
      </c>
      <c r="AG33">
        <v>7</v>
      </c>
      <c r="AH33">
        <v>4</v>
      </c>
      <c r="AI33">
        <v>7</v>
      </c>
      <c r="AJ33">
        <v>4</v>
      </c>
      <c r="AK33">
        <v>5</v>
      </c>
      <c r="AL33">
        <v>10</v>
      </c>
      <c r="AM33">
        <v>6</v>
      </c>
      <c r="AN33">
        <v>4</v>
      </c>
      <c r="AO33">
        <v>4</v>
      </c>
      <c r="AP33">
        <v>5</v>
      </c>
      <c r="AQ33">
        <v>0</v>
      </c>
      <c r="AR33">
        <v>3</v>
      </c>
      <c r="AS33">
        <v>1</v>
      </c>
      <c r="AU33">
        <v>0</v>
      </c>
      <c r="AW33">
        <v>0</v>
      </c>
      <c r="AX33" s="8" t="e">
        <v>#DIV/0!</v>
      </c>
      <c r="AY33" s="8">
        <v>1</v>
      </c>
      <c r="AZ33" s="8">
        <v>0</v>
      </c>
      <c r="BA33" s="8" t="e">
        <v>#DIV/0!</v>
      </c>
      <c r="BB33" s="8">
        <v>1</v>
      </c>
      <c r="BC33" s="8">
        <v>1</v>
      </c>
      <c r="BD33" s="8">
        <v>0.875</v>
      </c>
      <c r="BE33" s="8">
        <v>0.5</v>
      </c>
      <c r="BF33" s="8">
        <v>0.5714285714285714</v>
      </c>
      <c r="BG33" s="8">
        <v>0.5</v>
      </c>
      <c r="BH33" s="8">
        <v>0.33333333333333331</v>
      </c>
      <c r="BI33" s="8">
        <v>0.38461538461538464</v>
      </c>
      <c r="BJ33" s="8">
        <v>0.47619047619047616</v>
      </c>
      <c r="BK33" s="8">
        <v>0.4</v>
      </c>
      <c r="BL33" s="8">
        <v>0.33333333333333331</v>
      </c>
      <c r="BM33" s="8">
        <v>0.30769230769230771</v>
      </c>
      <c r="BN33" s="8">
        <v>0.38461538461538464</v>
      </c>
      <c r="BO33" s="8">
        <v>0</v>
      </c>
      <c r="BP33" s="8">
        <v>0.33333333333333331</v>
      </c>
      <c r="BQ33" s="8">
        <v>0.25</v>
      </c>
      <c r="BR33" s="8" t="e">
        <v>#DIV/0!</v>
      </c>
      <c r="BS33" s="8">
        <v>0</v>
      </c>
      <c r="BT33" s="8" t="e">
        <v>#DIV/0!</v>
      </c>
      <c r="BU33" s="8">
        <v>0</v>
      </c>
      <c r="BV33">
        <v>173</v>
      </c>
      <c r="BW33">
        <v>76</v>
      </c>
      <c r="BX33" s="8">
        <v>0.43930635838150289</v>
      </c>
      <c r="CA33" s="20" t="s">
        <v>50</v>
      </c>
      <c r="DE33" s="20" t="s">
        <v>50</v>
      </c>
    </row>
    <row r="34" spans="1:109">
      <c r="A34" s="20" t="s">
        <v>53</v>
      </c>
      <c r="B34">
        <v>2</v>
      </c>
      <c r="C34">
        <v>3</v>
      </c>
      <c r="D34">
        <v>2</v>
      </c>
      <c r="E34">
        <v>4</v>
      </c>
      <c r="F34">
        <v>8</v>
      </c>
      <c r="G34">
        <v>17</v>
      </c>
      <c r="H34">
        <v>22</v>
      </c>
      <c r="I34">
        <v>27</v>
      </c>
      <c r="J34">
        <v>33</v>
      </c>
      <c r="K34">
        <v>39</v>
      </c>
      <c r="L34">
        <v>45</v>
      </c>
      <c r="M34">
        <v>49</v>
      </c>
      <c r="N34">
        <v>61</v>
      </c>
      <c r="O34">
        <v>61</v>
      </c>
      <c r="P34">
        <v>69</v>
      </c>
      <c r="Q34">
        <v>76</v>
      </c>
      <c r="R34">
        <v>50</v>
      </c>
      <c r="S34">
        <v>40</v>
      </c>
      <c r="T34">
        <v>45</v>
      </c>
      <c r="U34">
        <v>24</v>
      </c>
      <c r="V34">
        <v>6</v>
      </c>
      <c r="W34">
        <v>7</v>
      </c>
      <c r="X34">
        <v>2</v>
      </c>
      <c r="Y34">
        <v>2</v>
      </c>
      <c r="Z34">
        <v>2</v>
      </c>
      <c r="AA34">
        <v>1</v>
      </c>
      <c r="AB34">
        <v>0</v>
      </c>
      <c r="AC34">
        <v>1</v>
      </c>
      <c r="AD34">
        <v>0</v>
      </c>
      <c r="AE34">
        <v>5</v>
      </c>
      <c r="AF34">
        <v>4</v>
      </c>
      <c r="AG34">
        <v>4</v>
      </c>
      <c r="AH34">
        <v>8</v>
      </c>
      <c r="AI34">
        <v>8</v>
      </c>
      <c r="AJ34">
        <v>8</v>
      </c>
      <c r="AK34">
        <v>8</v>
      </c>
      <c r="AL34">
        <v>11</v>
      </c>
      <c r="AM34">
        <v>9</v>
      </c>
      <c r="AN34">
        <v>14</v>
      </c>
      <c r="AO34">
        <v>9</v>
      </c>
      <c r="AP34">
        <v>5</v>
      </c>
      <c r="AQ34">
        <v>3</v>
      </c>
      <c r="AR34">
        <v>3</v>
      </c>
      <c r="AS34">
        <v>5</v>
      </c>
      <c r="AT34">
        <v>0</v>
      </c>
      <c r="AU34">
        <v>1</v>
      </c>
      <c r="AV34">
        <v>0</v>
      </c>
      <c r="AW34">
        <v>0</v>
      </c>
      <c r="AX34" s="8">
        <v>1</v>
      </c>
      <c r="AY34" s="8">
        <v>0.33333333333333331</v>
      </c>
      <c r="AZ34" s="8">
        <v>0</v>
      </c>
      <c r="BA34" s="8">
        <v>0.25</v>
      </c>
      <c r="BB34" s="8">
        <v>0</v>
      </c>
      <c r="BC34" s="8">
        <v>0.29411764705882354</v>
      </c>
      <c r="BD34" s="8">
        <v>0.18181818181818182</v>
      </c>
      <c r="BE34" s="8">
        <v>0.14814814814814814</v>
      </c>
      <c r="BF34" s="8">
        <v>0.24242424242424243</v>
      </c>
      <c r="BG34" s="8">
        <v>0.20512820512820512</v>
      </c>
      <c r="BH34" s="8">
        <v>0.17777777777777778</v>
      </c>
      <c r="BI34" s="8">
        <v>0.16326530612244897</v>
      </c>
      <c r="BJ34" s="8">
        <v>0.18032786885245902</v>
      </c>
      <c r="BK34" s="8">
        <v>0.14754098360655737</v>
      </c>
      <c r="BL34" s="8">
        <v>0.20289855072463769</v>
      </c>
      <c r="BM34" s="8">
        <v>0.11842105263157894</v>
      </c>
      <c r="BN34" s="8">
        <v>0.1</v>
      </c>
      <c r="BO34" s="8">
        <v>7.4999999999999997E-2</v>
      </c>
      <c r="BP34" s="8">
        <v>6.6666666666666666E-2</v>
      </c>
      <c r="BQ34" s="8">
        <v>0.20833333333333334</v>
      </c>
      <c r="BR34" s="8">
        <v>0</v>
      </c>
      <c r="BS34" s="8">
        <v>0.14285714285714285</v>
      </c>
      <c r="BT34" s="8">
        <v>0</v>
      </c>
      <c r="BU34" s="8">
        <v>0</v>
      </c>
      <c r="BV34">
        <v>694</v>
      </c>
      <c r="BW34">
        <v>109</v>
      </c>
      <c r="BX34" s="8">
        <v>0.15706051873198848</v>
      </c>
      <c r="CA34" s="20" t="s">
        <v>53</v>
      </c>
      <c r="DE34" s="20" t="s">
        <v>53</v>
      </c>
    </row>
    <row r="35" spans="1:109">
      <c r="A35" s="20" t="s">
        <v>49</v>
      </c>
      <c r="B35">
        <v>4</v>
      </c>
      <c r="C35">
        <v>4</v>
      </c>
      <c r="D35">
        <v>3</v>
      </c>
      <c r="E35">
        <v>5</v>
      </c>
      <c r="F35">
        <v>14</v>
      </c>
      <c r="G35">
        <v>26</v>
      </c>
      <c r="H35">
        <v>53</v>
      </c>
      <c r="I35">
        <v>49</v>
      </c>
      <c r="J35">
        <v>69</v>
      </c>
      <c r="K35">
        <v>70</v>
      </c>
      <c r="L35">
        <v>109</v>
      </c>
      <c r="M35">
        <v>91</v>
      </c>
      <c r="N35">
        <v>125</v>
      </c>
      <c r="O35">
        <v>101</v>
      </c>
      <c r="P35">
        <v>131</v>
      </c>
      <c r="Q35">
        <v>111</v>
      </c>
      <c r="R35">
        <v>110</v>
      </c>
      <c r="S35">
        <v>69</v>
      </c>
      <c r="T35">
        <v>59</v>
      </c>
      <c r="U35">
        <v>30</v>
      </c>
      <c r="V35">
        <v>18</v>
      </c>
      <c r="W35">
        <v>11</v>
      </c>
      <c r="X35">
        <v>4</v>
      </c>
      <c r="Y35">
        <v>2</v>
      </c>
      <c r="Z35">
        <v>1</v>
      </c>
      <c r="AA35">
        <v>1</v>
      </c>
      <c r="AB35">
        <v>1</v>
      </c>
      <c r="AC35">
        <v>2</v>
      </c>
      <c r="AD35">
        <v>8</v>
      </c>
      <c r="AE35">
        <v>13</v>
      </c>
      <c r="AF35">
        <v>24</v>
      </c>
      <c r="AG35">
        <v>19</v>
      </c>
      <c r="AH35">
        <v>27</v>
      </c>
      <c r="AI35">
        <v>29</v>
      </c>
      <c r="AJ35">
        <v>45</v>
      </c>
      <c r="AK35">
        <v>29</v>
      </c>
      <c r="AL35">
        <v>38</v>
      </c>
      <c r="AM35">
        <v>30</v>
      </c>
      <c r="AN35">
        <v>49</v>
      </c>
      <c r="AO35">
        <v>35</v>
      </c>
      <c r="AP35">
        <v>43</v>
      </c>
      <c r="AQ35">
        <v>27</v>
      </c>
      <c r="AR35">
        <v>14</v>
      </c>
      <c r="AS35">
        <v>10</v>
      </c>
      <c r="AT35">
        <v>5</v>
      </c>
      <c r="AU35">
        <v>5</v>
      </c>
      <c r="AV35">
        <v>2</v>
      </c>
      <c r="AW35">
        <v>0</v>
      </c>
      <c r="AX35" s="8">
        <v>0.25</v>
      </c>
      <c r="AY35" s="8">
        <v>0.25</v>
      </c>
      <c r="AZ35" s="8">
        <v>0.33333333333333331</v>
      </c>
      <c r="BA35" s="8">
        <v>0.4</v>
      </c>
      <c r="BB35" s="8">
        <v>0.5714285714285714</v>
      </c>
      <c r="BC35" s="8">
        <v>0.5</v>
      </c>
      <c r="BD35" s="8">
        <v>0.45283018867924529</v>
      </c>
      <c r="BE35" s="8">
        <v>0.38775510204081631</v>
      </c>
      <c r="BF35" s="8">
        <v>0.39130434782608697</v>
      </c>
      <c r="BG35" s="8">
        <v>0.41428571428571431</v>
      </c>
      <c r="BH35" s="8">
        <v>0.41284403669724773</v>
      </c>
      <c r="BI35" s="8">
        <v>0.31868131868131866</v>
      </c>
      <c r="BJ35" s="8">
        <v>0.30399999999999999</v>
      </c>
      <c r="BK35" s="8">
        <v>0.29702970297029702</v>
      </c>
      <c r="BL35" s="8">
        <v>0.37404580152671757</v>
      </c>
      <c r="BM35" s="8">
        <v>0.31531531531531531</v>
      </c>
      <c r="BN35" s="8">
        <v>0.39090909090909093</v>
      </c>
      <c r="BO35" s="8">
        <v>0.39130434782608697</v>
      </c>
      <c r="BP35" s="8">
        <v>0.23728813559322035</v>
      </c>
      <c r="BQ35" s="8">
        <v>0.33333333333333331</v>
      </c>
      <c r="BR35" s="8">
        <v>0.27777777777777779</v>
      </c>
      <c r="BS35" s="8">
        <v>0.45454545454545453</v>
      </c>
      <c r="BT35" s="8">
        <v>0.5</v>
      </c>
      <c r="BU35" s="8">
        <v>0</v>
      </c>
      <c r="BV35">
        <v>1268</v>
      </c>
      <c r="BW35">
        <v>457</v>
      </c>
      <c r="BX35" s="8">
        <v>0.36041009463722395</v>
      </c>
      <c r="CA35" s="20" t="s">
        <v>49</v>
      </c>
      <c r="DE35" s="20" t="s">
        <v>49</v>
      </c>
    </row>
    <row r="36" spans="1:109">
      <c r="A36" s="20" t="s">
        <v>48</v>
      </c>
      <c r="C36">
        <v>1</v>
      </c>
      <c r="D36">
        <v>6</v>
      </c>
      <c r="E36">
        <v>8</v>
      </c>
      <c r="F36">
        <v>19</v>
      </c>
      <c r="G36">
        <v>34</v>
      </c>
      <c r="H36">
        <v>52</v>
      </c>
      <c r="I36">
        <v>50</v>
      </c>
      <c r="J36">
        <v>65</v>
      </c>
      <c r="K36">
        <v>76</v>
      </c>
      <c r="L36">
        <v>118</v>
      </c>
      <c r="M36">
        <v>116</v>
      </c>
      <c r="N36">
        <v>124</v>
      </c>
      <c r="O36">
        <v>124</v>
      </c>
      <c r="P36">
        <v>107</v>
      </c>
      <c r="Q36">
        <v>122</v>
      </c>
      <c r="R36">
        <v>105</v>
      </c>
      <c r="S36">
        <v>82</v>
      </c>
      <c r="T36">
        <v>53</v>
      </c>
      <c r="U36">
        <v>31</v>
      </c>
      <c r="V36">
        <v>28</v>
      </c>
      <c r="W36">
        <v>7</v>
      </c>
      <c r="X36">
        <v>5</v>
      </c>
      <c r="Y36">
        <v>1</v>
      </c>
      <c r="AA36">
        <v>1</v>
      </c>
      <c r="AB36">
        <v>5</v>
      </c>
      <c r="AC36">
        <v>4</v>
      </c>
      <c r="AD36">
        <v>15</v>
      </c>
      <c r="AE36">
        <v>20</v>
      </c>
      <c r="AF36">
        <v>37</v>
      </c>
      <c r="AG36">
        <v>33</v>
      </c>
      <c r="AH36">
        <v>42</v>
      </c>
      <c r="AI36">
        <v>49</v>
      </c>
      <c r="AJ36">
        <v>69</v>
      </c>
      <c r="AK36">
        <v>69</v>
      </c>
      <c r="AL36">
        <v>67</v>
      </c>
      <c r="AM36">
        <v>63</v>
      </c>
      <c r="AN36">
        <v>65</v>
      </c>
      <c r="AO36">
        <v>61</v>
      </c>
      <c r="AP36">
        <v>56</v>
      </c>
      <c r="AQ36">
        <v>45</v>
      </c>
      <c r="AR36">
        <v>23</v>
      </c>
      <c r="AS36">
        <v>13</v>
      </c>
      <c r="AT36">
        <v>16</v>
      </c>
      <c r="AU36">
        <v>4</v>
      </c>
      <c r="AV36">
        <v>4</v>
      </c>
      <c r="AW36">
        <v>0</v>
      </c>
      <c r="AX36" s="8" t="e">
        <v>#DIV/0!</v>
      </c>
      <c r="AY36" s="8">
        <v>1</v>
      </c>
      <c r="AZ36" s="8">
        <v>0.83333333333333337</v>
      </c>
      <c r="BA36" s="8">
        <v>0.5</v>
      </c>
      <c r="BB36" s="8">
        <v>0.78947368421052633</v>
      </c>
      <c r="BC36" s="8">
        <v>0.58823529411764708</v>
      </c>
      <c r="BD36" s="8">
        <v>0.71153846153846156</v>
      </c>
      <c r="BE36" s="8">
        <v>0.66</v>
      </c>
      <c r="BF36" s="8">
        <v>0.64615384615384619</v>
      </c>
      <c r="BG36" s="8">
        <v>0.64473684210526316</v>
      </c>
      <c r="BH36" s="8">
        <v>0.5847457627118644</v>
      </c>
      <c r="BI36" s="8">
        <v>0.59482758620689657</v>
      </c>
      <c r="BJ36" s="8">
        <v>0.54032258064516125</v>
      </c>
      <c r="BK36" s="8">
        <v>0.50806451612903225</v>
      </c>
      <c r="BL36" s="8">
        <v>0.60747663551401865</v>
      </c>
      <c r="BM36" s="8">
        <v>0.5</v>
      </c>
      <c r="BN36" s="8">
        <v>0.53333333333333333</v>
      </c>
      <c r="BO36" s="8">
        <v>0.54878048780487809</v>
      </c>
      <c r="BP36" s="8">
        <v>0.43396226415094341</v>
      </c>
      <c r="BQ36" s="8">
        <v>0.41935483870967744</v>
      </c>
      <c r="BR36" s="8">
        <v>0.5714285714285714</v>
      </c>
      <c r="BS36" s="8">
        <v>0.5714285714285714</v>
      </c>
      <c r="BT36" s="8">
        <v>0.8</v>
      </c>
      <c r="BU36" s="8">
        <v>0</v>
      </c>
      <c r="BV36">
        <v>1334</v>
      </c>
      <c r="BW36">
        <v>761</v>
      </c>
      <c r="BX36" s="8">
        <v>0.57046476761619191</v>
      </c>
      <c r="CA36" s="20" t="s">
        <v>48</v>
      </c>
      <c r="DE36" s="20" t="s">
        <v>48</v>
      </c>
    </row>
    <row r="37" spans="1:109">
      <c r="A37" s="20" t="s">
        <v>63</v>
      </c>
      <c r="C37">
        <v>1</v>
      </c>
      <c r="D37">
        <v>5</v>
      </c>
      <c r="E37">
        <v>2</v>
      </c>
      <c r="F37">
        <v>4</v>
      </c>
      <c r="G37">
        <v>6</v>
      </c>
      <c r="H37">
        <v>3</v>
      </c>
      <c r="I37">
        <v>9</v>
      </c>
      <c r="J37">
        <v>6</v>
      </c>
      <c r="K37">
        <v>16</v>
      </c>
      <c r="L37">
        <v>23</v>
      </c>
      <c r="M37">
        <v>20</v>
      </c>
      <c r="N37">
        <v>28</v>
      </c>
      <c r="O37">
        <v>26</v>
      </c>
      <c r="P37">
        <v>24</v>
      </c>
      <c r="Q37">
        <v>27</v>
      </c>
      <c r="R37">
        <v>16</v>
      </c>
      <c r="S37">
        <v>17</v>
      </c>
      <c r="T37">
        <v>15</v>
      </c>
      <c r="U37">
        <v>9</v>
      </c>
      <c r="V37">
        <v>8</v>
      </c>
      <c r="W37">
        <v>2</v>
      </c>
      <c r="X37">
        <v>1</v>
      </c>
      <c r="Y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8" t="e">
        <v>#DIV/0!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>
        <v>269</v>
      </c>
      <c r="BW37">
        <v>0</v>
      </c>
      <c r="BX37" s="8">
        <v>0</v>
      </c>
      <c r="CA37" s="20" t="s">
        <v>63</v>
      </c>
      <c r="DE37" s="20" t="s">
        <v>63</v>
      </c>
    </row>
    <row r="38" spans="1:109">
      <c r="A38" s="20" t="s">
        <v>51</v>
      </c>
      <c r="B38">
        <v>2</v>
      </c>
      <c r="C38">
        <v>3</v>
      </c>
      <c r="D38">
        <v>2</v>
      </c>
      <c r="E38">
        <v>3</v>
      </c>
      <c r="F38">
        <v>6</v>
      </c>
      <c r="G38">
        <v>15</v>
      </c>
      <c r="H38">
        <v>22</v>
      </c>
      <c r="I38">
        <v>27</v>
      </c>
      <c r="J38">
        <v>29</v>
      </c>
      <c r="K38">
        <v>30</v>
      </c>
      <c r="L38">
        <v>31</v>
      </c>
      <c r="M38">
        <v>37</v>
      </c>
      <c r="N38">
        <v>46</v>
      </c>
      <c r="O38">
        <v>38</v>
      </c>
      <c r="P38">
        <v>52</v>
      </c>
      <c r="Q38">
        <v>52</v>
      </c>
      <c r="R38">
        <v>55</v>
      </c>
      <c r="S38">
        <v>35</v>
      </c>
      <c r="T38">
        <v>31</v>
      </c>
      <c r="U38">
        <v>27</v>
      </c>
      <c r="V38">
        <v>10</v>
      </c>
      <c r="W38">
        <v>9</v>
      </c>
      <c r="X38">
        <v>2</v>
      </c>
      <c r="Z38">
        <v>1</v>
      </c>
      <c r="AA38">
        <v>1</v>
      </c>
      <c r="AB38">
        <v>2</v>
      </c>
      <c r="AC38">
        <v>0</v>
      </c>
      <c r="AD38">
        <v>3</v>
      </c>
      <c r="AE38">
        <v>8</v>
      </c>
      <c r="AF38">
        <v>10</v>
      </c>
      <c r="AG38">
        <v>17</v>
      </c>
      <c r="AH38">
        <v>10</v>
      </c>
      <c r="AI38">
        <v>12</v>
      </c>
      <c r="AJ38">
        <v>18</v>
      </c>
      <c r="AK38">
        <v>17</v>
      </c>
      <c r="AL38">
        <v>16</v>
      </c>
      <c r="AM38">
        <v>15</v>
      </c>
      <c r="AN38">
        <v>20</v>
      </c>
      <c r="AO38">
        <v>18</v>
      </c>
      <c r="AP38">
        <v>16</v>
      </c>
      <c r="AQ38">
        <v>14</v>
      </c>
      <c r="AR38">
        <v>9</v>
      </c>
      <c r="AS38">
        <v>12</v>
      </c>
      <c r="AT38">
        <v>0</v>
      </c>
      <c r="AU38">
        <v>2</v>
      </c>
      <c r="AV38">
        <v>0</v>
      </c>
      <c r="AX38" s="8">
        <v>0.5</v>
      </c>
      <c r="AY38" s="8">
        <v>0.33333333333333331</v>
      </c>
      <c r="AZ38" s="8">
        <v>1</v>
      </c>
      <c r="BA38" s="8">
        <v>0</v>
      </c>
      <c r="BB38" s="8">
        <v>0.5</v>
      </c>
      <c r="BC38" s="8">
        <v>0.53333333333333333</v>
      </c>
      <c r="BD38" s="8">
        <v>0.45454545454545453</v>
      </c>
      <c r="BE38" s="8">
        <v>0.62962962962962965</v>
      </c>
      <c r="BF38" s="8">
        <v>0.34482758620689657</v>
      </c>
      <c r="BG38" s="8">
        <v>0.4</v>
      </c>
      <c r="BH38" s="8">
        <v>0.58064516129032262</v>
      </c>
      <c r="BI38" s="8">
        <v>0.45945945945945948</v>
      </c>
      <c r="BJ38" s="8">
        <v>0.34782608695652173</v>
      </c>
      <c r="BK38" s="8">
        <v>0.39473684210526316</v>
      </c>
      <c r="BL38" s="8">
        <v>0.38461538461538464</v>
      </c>
      <c r="BM38" s="8">
        <v>0.34615384615384615</v>
      </c>
      <c r="BN38" s="8">
        <v>0.29090909090909089</v>
      </c>
      <c r="BO38" s="8">
        <v>0.4</v>
      </c>
      <c r="BP38" s="8">
        <v>0.29032258064516131</v>
      </c>
      <c r="BQ38" s="8">
        <v>0.44444444444444442</v>
      </c>
      <c r="BR38" s="8">
        <v>0</v>
      </c>
      <c r="BS38" s="8">
        <v>0.22222222222222221</v>
      </c>
      <c r="BT38" s="8">
        <v>0</v>
      </c>
      <c r="BU38" s="8" t="e">
        <v>#DIV/0!</v>
      </c>
      <c r="BV38">
        <v>564</v>
      </c>
      <c r="BW38">
        <v>221</v>
      </c>
      <c r="BX38" s="8">
        <v>0.39184397163120566</v>
      </c>
      <c r="CA38" s="20" t="s">
        <v>51</v>
      </c>
      <c r="DE38" s="20" t="s">
        <v>51</v>
      </c>
    </row>
    <row r="39" spans="1:109">
      <c r="A39" s="20" t="s">
        <v>58</v>
      </c>
      <c r="F39">
        <v>1</v>
      </c>
      <c r="G39">
        <v>2</v>
      </c>
      <c r="I39">
        <v>1</v>
      </c>
      <c r="K39">
        <v>2</v>
      </c>
      <c r="L39">
        <v>1</v>
      </c>
      <c r="M39">
        <v>1</v>
      </c>
      <c r="O39">
        <v>1</v>
      </c>
      <c r="R39">
        <v>1</v>
      </c>
      <c r="T39">
        <v>2</v>
      </c>
      <c r="U39">
        <v>1</v>
      </c>
      <c r="AD39">
        <v>0</v>
      </c>
      <c r="AE39">
        <v>1</v>
      </c>
      <c r="AG39">
        <v>0</v>
      </c>
      <c r="AI39">
        <v>0</v>
      </c>
      <c r="AJ39">
        <v>1</v>
      </c>
      <c r="AK39">
        <v>1</v>
      </c>
      <c r="AM39">
        <v>0</v>
      </c>
      <c r="AP39">
        <v>1</v>
      </c>
      <c r="AR39">
        <v>0</v>
      </c>
      <c r="AS39">
        <v>0</v>
      </c>
      <c r="AX39" s="8" t="e">
        <v>#DIV/0!</v>
      </c>
      <c r="AY39" s="8" t="e">
        <v>#DIV/0!</v>
      </c>
      <c r="AZ39" s="8" t="e">
        <v>#DIV/0!</v>
      </c>
      <c r="BA39" s="8" t="e">
        <v>#DIV/0!</v>
      </c>
      <c r="BB39" s="8">
        <v>0</v>
      </c>
      <c r="BC39" s="8">
        <v>0.5</v>
      </c>
      <c r="BD39" s="8" t="e">
        <v>#DIV/0!</v>
      </c>
      <c r="BE39" s="8">
        <v>0</v>
      </c>
      <c r="BF39" s="8" t="e">
        <v>#DIV/0!</v>
      </c>
      <c r="BG39" s="8">
        <v>0</v>
      </c>
      <c r="BH39" s="8">
        <v>1</v>
      </c>
      <c r="BI39" s="8">
        <v>1</v>
      </c>
      <c r="BJ39" s="8" t="e">
        <v>#DIV/0!</v>
      </c>
      <c r="BK39" s="8">
        <v>0</v>
      </c>
      <c r="BL39" s="8" t="e">
        <v>#DIV/0!</v>
      </c>
      <c r="BM39" s="8" t="e">
        <v>#DIV/0!</v>
      </c>
      <c r="BN39" s="8">
        <v>1</v>
      </c>
      <c r="BO39" s="8" t="e">
        <v>#DIV/0!</v>
      </c>
      <c r="BP39" s="8">
        <v>0</v>
      </c>
      <c r="BQ39" s="8">
        <v>0</v>
      </c>
      <c r="BR39" s="8" t="e">
        <v>#DIV/0!</v>
      </c>
      <c r="BS39" s="8" t="e">
        <v>#DIV/0!</v>
      </c>
      <c r="BT39" s="8" t="e">
        <v>#DIV/0!</v>
      </c>
      <c r="BU39" s="8" t="e">
        <v>#DIV/0!</v>
      </c>
      <c r="BV39">
        <v>13</v>
      </c>
      <c r="BW39">
        <v>4</v>
      </c>
      <c r="BX39" s="8">
        <v>0.30769230769230771</v>
      </c>
      <c r="CA39" s="20" t="s">
        <v>58</v>
      </c>
      <c r="DE39" s="20" t="s">
        <v>58</v>
      </c>
    </row>
    <row r="40" spans="1:109">
      <c r="A40" s="20" t="s">
        <v>54</v>
      </c>
      <c r="B40">
        <v>2</v>
      </c>
      <c r="C40">
        <v>1</v>
      </c>
      <c r="D40">
        <v>2</v>
      </c>
      <c r="E40">
        <v>8</v>
      </c>
      <c r="F40">
        <v>11</v>
      </c>
      <c r="G40">
        <v>20</v>
      </c>
      <c r="H40">
        <v>21</v>
      </c>
      <c r="I40">
        <v>23</v>
      </c>
      <c r="J40">
        <v>41</v>
      </c>
      <c r="K40">
        <v>41</v>
      </c>
      <c r="L40">
        <v>55</v>
      </c>
      <c r="M40">
        <v>57</v>
      </c>
      <c r="N40">
        <v>78</v>
      </c>
      <c r="O40">
        <v>78</v>
      </c>
      <c r="P40">
        <v>68</v>
      </c>
      <c r="Q40">
        <v>66</v>
      </c>
      <c r="R40">
        <v>58</v>
      </c>
      <c r="S40">
        <v>30</v>
      </c>
      <c r="T40">
        <v>31</v>
      </c>
      <c r="U40">
        <v>19</v>
      </c>
      <c r="V40">
        <v>12</v>
      </c>
      <c r="W40">
        <v>7</v>
      </c>
      <c r="X40">
        <v>2</v>
      </c>
      <c r="Y40">
        <v>2</v>
      </c>
      <c r="Z40">
        <v>2</v>
      </c>
      <c r="AA40">
        <v>0</v>
      </c>
      <c r="AB40">
        <v>1</v>
      </c>
      <c r="AC40">
        <v>5</v>
      </c>
      <c r="AD40">
        <v>4</v>
      </c>
      <c r="AE40">
        <v>12</v>
      </c>
      <c r="AF40">
        <v>11</v>
      </c>
      <c r="AG40">
        <v>13</v>
      </c>
      <c r="AH40">
        <v>24</v>
      </c>
      <c r="AI40">
        <v>25</v>
      </c>
      <c r="AJ40">
        <v>25</v>
      </c>
      <c r="AK40">
        <v>29</v>
      </c>
      <c r="AL40">
        <v>29</v>
      </c>
      <c r="AM40">
        <v>32</v>
      </c>
      <c r="AN40">
        <v>26</v>
      </c>
      <c r="AO40">
        <v>25</v>
      </c>
      <c r="AP40">
        <v>26</v>
      </c>
      <c r="AQ40">
        <v>10</v>
      </c>
      <c r="AR40">
        <v>6</v>
      </c>
      <c r="AS40">
        <v>3</v>
      </c>
      <c r="AT40">
        <v>3</v>
      </c>
      <c r="AU40">
        <v>2</v>
      </c>
      <c r="AV40">
        <v>0</v>
      </c>
      <c r="AW40">
        <v>0</v>
      </c>
      <c r="AX40" s="8">
        <v>1</v>
      </c>
      <c r="AY40" s="8">
        <v>0</v>
      </c>
      <c r="AZ40" s="8">
        <v>0.5</v>
      </c>
      <c r="BA40" s="8">
        <v>0.625</v>
      </c>
      <c r="BB40" s="8">
        <v>0.36363636363636365</v>
      </c>
      <c r="BC40" s="8">
        <v>0.6</v>
      </c>
      <c r="BD40" s="8">
        <v>0.52380952380952384</v>
      </c>
      <c r="BE40" s="8">
        <v>0.56521739130434778</v>
      </c>
      <c r="BF40" s="8">
        <v>0.58536585365853655</v>
      </c>
      <c r="BG40" s="8">
        <v>0.6097560975609756</v>
      </c>
      <c r="BH40" s="8">
        <v>0.45454545454545453</v>
      </c>
      <c r="BI40" s="8">
        <v>0.50877192982456143</v>
      </c>
      <c r="BJ40" s="8">
        <v>0.37179487179487181</v>
      </c>
      <c r="BK40" s="8">
        <v>0.41025641025641024</v>
      </c>
      <c r="BL40" s="8">
        <v>0.38235294117647056</v>
      </c>
      <c r="BM40" s="8">
        <v>0.37878787878787878</v>
      </c>
      <c r="BN40" s="8">
        <v>0.44827586206896552</v>
      </c>
      <c r="BO40" s="8">
        <v>0.33333333333333331</v>
      </c>
      <c r="BP40" s="8">
        <v>0.19354838709677419</v>
      </c>
      <c r="BQ40" s="8">
        <v>0.15789473684210525</v>
      </c>
      <c r="BR40" s="8">
        <v>0.25</v>
      </c>
      <c r="BS40" s="8">
        <v>0.2857142857142857</v>
      </c>
      <c r="BT40" s="8">
        <v>0</v>
      </c>
      <c r="BU40" s="8">
        <v>0</v>
      </c>
      <c r="BV40">
        <v>733</v>
      </c>
      <c r="BW40">
        <v>313</v>
      </c>
      <c r="BX40" s="8">
        <v>0.42701227830832195</v>
      </c>
      <c r="CA40" s="20" t="s">
        <v>54</v>
      </c>
      <c r="DE40" s="20" t="s">
        <v>54</v>
      </c>
    </row>
    <row r="41" spans="1:109">
      <c r="A41" s="20" t="s">
        <v>57</v>
      </c>
      <c r="B41">
        <v>2</v>
      </c>
      <c r="C41">
        <v>2</v>
      </c>
      <c r="F41">
        <v>5</v>
      </c>
      <c r="G41">
        <v>11</v>
      </c>
      <c r="H41">
        <v>15</v>
      </c>
      <c r="I41">
        <v>12</v>
      </c>
      <c r="J41">
        <v>16</v>
      </c>
      <c r="K41">
        <v>24</v>
      </c>
      <c r="L41">
        <v>15</v>
      </c>
      <c r="M41">
        <v>31</v>
      </c>
      <c r="N41">
        <v>32</v>
      </c>
      <c r="O41">
        <v>34</v>
      </c>
      <c r="P41">
        <v>37</v>
      </c>
      <c r="Q41">
        <v>31</v>
      </c>
      <c r="R41">
        <v>30</v>
      </c>
      <c r="S41">
        <v>27</v>
      </c>
      <c r="T41">
        <v>19</v>
      </c>
      <c r="U41">
        <v>8</v>
      </c>
      <c r="V41">
        <v>9</v>
      </c>
      <c r="W41">
        <v>4</v>
      </c>
      <c r="X41">
        <v>1</v>
      </c>
      <c r="Y41">
        <v>1</v>
      </c>
      <c r="Z41">
        <v>-1</v>
      </c>
      <c r="AA41">
        <v>0</v>
      </c>
      <c r="AD41">
        <v>-2</v>
      </c>
      <c r="AE41">
        <v>-4</v>
      </c>
      <c r="AF41">
        <v>-2</v>
      </c>
      <c r="AG41">
        <v>-4</v>
      </c>
      <c r="AH41">
        <v>-6</v>
      </c>
      <c r="AI41">
        <v>-8</v>
      </c>
      <c r="AJ41">
        <v>-6</v>
      </c>
      <c r="AK41">
        <v>-4</v>
      </c>
      <c r="AL41">
        <v>-9</v>
      </c>
      <c r="AM41">
        <v>-5</v>
      </c>
      <c r="AN41">
        <v>-6</v>
      </c>
      <c r="AO41">
        <v>-7</v>
      </c>
      <c r="AP41">
        <v>-5</v>
      </c>
      <c r="AQ41">
        <v>-2</v>
      </c>
      <c r="AR41">
        <v>-3</v>
      </c>
      <c r="AS41">
        <v>-1</v>
      </c>
      <c r="AT41">
        <v>-1</v>
      </c>
      <c r="AU41">
        <v>-2</v>
      </c>
      <c r="AV41">
        <v>0</v>
      </c>
      <c r="AW41">
        <v>0</v>
      </c>
      <c r="AX41" s="8">
        <v>-0.5</v>
      </c>
      <c r="AY41" s="8">
        <v>0</v>
      </c>
      <c r="AZ41" s="8" t="e">
        <v>#DIV/0!</v>
      </c>
      <c r="BA41" s="8" t="e">
        <v>#DIV/0!</v>
      </c>
      <c r="BB41" s="8">
        <v>-0.4</v>
      </c>
      <c r="BC41" s="8">
        <v>-0.36363636363636365</v>
      </c>
      <c r="BD41" s="8">
        <v>-0.13333333333333333</v>
      </c>
      <c r="BE41" s="8">
        <v>-0.33333333333333331</v>
      </c>
      <c r="BF41" s="8">
        <v>-0.375</v>
      </c>
      <c r="BG41" s="8">
        <v>-0.33333333333333331</v>
      </c>
      <c r="BH41" s="8">
        <v>-0.4</v>
      </c>
      <c r="BI41" s="8">
        <v>-0.12903225806451613</v>
      </c>
      <c r="BJ41" s="8">
        <v>-0.28125</v>
      </c>
      <c r="BK41" s="8">
        <v>-0.14705882352941177</v>
      </c>
      <c r="BL41" s="8">
        <v>-0.16216216216216217</v>
      </c>
      <c r="BM41" s="8">
        <v>-0.22580645161290322</v>
      </c>
      <c r="BN41" s="8">
        <v>-0.16666666666666666</v>
      </c>
      <c r="BO41" s="8">
        <v>-7.407407407407407E-2</v>
      </c>
      <c r="BP41" s="8">
        <v>-0.15789473684210525</v>
      </c>
      <c r="BQ41" s="8">
        <v>-0.125</v>
      </c>
      <c r="BR41" s="8">
        <v>-0.1111111111111111</v>
      </c>
      <c r="BS41" s="8">
        <v>-0.5</v>
      </c>
      <c r="BT41" s="8">
        <v>0</v>
      </c>
      <c r="BU41" s="8">
        <v>0</v>
      </c>
      <c r="BV41">
        <v>366</v>
      </c>
      <c r="BW41">
        <v>-78</v>
      </c>
      <c r="BX41" s="8">
        <v>-0.21311475409836064</v>
      </c>
      <c r="CA41" s="20" t="s">
        <v>57</v>
      </c>
      <c r="DE41" s="20" t="s">
        <v>57</v>
      </c>
    </row>
    <row r="42" spans="1:109">
      <c r="A42" s="20" t="s">
        <v>56</v>
      </c>
      <c r="B42">
        <v>1</v>
      </c>
      <c r="D42">
        <v>1</v>
      </c>
      <c r="E42">
        <v>1</v>
      </c>
      <c r="F42">
        <v>5</v>
      </c>
      <c r="G42">
        <v>4</v>
      </c>
      <c r="H42">
        <v>8</v>
      </c>
      <c r="I42">
        <v>9</v>
      </c>
      <c r="J42">
        <v>9</v>
      </c>
      <c r="K42">
        <v>12</v>
      </c>
      <c r="L42">
        <v>21</v>
      </c>
      <c r="M42">
        <v>21</v>
      </c>
      <c r="N42">
        <v>27</v>
      </c>
      <c r="O42">
        <v>25</v>
      </c>
      <c r="P42">
        <v>18</v>
      </c>
      <c r="Q42">
        <v>26</v>
      </c>
      <c r="R42">
        <v>25</v>
      </c>
      <c r="S42">
        <v>12</v>
      </c>
      <c r="T42">
        <v>11</v>
      </c>
      <c r="U42">
        <v>7</v>
      </c>
      <c r="V42">
        <v>2</v>
      </c>
      <c r="X42">
        <v>1</v>
      </c>
      <c r="Y42">
        <v>1</v>
      </c>
      <c r="Z42">
        <v>0</v>
      </c>
      <c r="AB42">
        <v>-1</v>
      </c>
      <c r="AC42">
        <v>0</v>
      </c>
      <c r="AD42">
        <v>0</v>
      </c>
      <c r="AE42">
        <v>0</v>
      </c>
      <c r="AF42">
        <v>-2</v>
      </c>
      <c r="AG42">
        <v>-2</v>
      </c>
      <c r="AH42">
        <v>-3</v>
      </c>
      <c r="AI42">
        <v>-3</v>
      </c>
      <c r="AJ42">
        <v>-8</v>
      </c>
      <c r="AK42">
        <v>-3</v>
      </c>
      <c r="AL42">
        <v>-3</v>
      </c>
      <c r="AM42">
        <v>-5</v>
      </c>
      <c r="AN42">
        <v>-2</v>
      </c>
      <c r="AO42">
        <v>-6</v>
      </c>
      <c r="AP42">
        <v>-8</v>
      </c>
      <c r="AQ42">
        <v>-4</v>
      </c>
      <c r="AR42">
        <v>-1</v>
      </c>
      <c r="AS42">
        <v>-2</v>
      </c>
      <c r="AT42">
        <v>0</v>
      </c>
      <c r="AV42">
        <v>0</v>
      </c>
      <c r="AW42">
        <v>0</v>
      </c>
      <c r="AX42" s="8">
        <v>0</v>
      </c>
      <c r="AY42" s="8" t="e">
        <v>#DIV/0!</v>
      </c>
      <c r="AZ42" s="8">
        <v>-1</v>
      </c>
      <c r="BA42" s="8">
        <v>0</v>
      </c>
      <c r="BB42" s="8">
        <v>0</v>
      </c>
      <c r="BC42" s="8">
        <v>0</v>
      </c>
      <c r="BD42" s="8">
        <v>-0.25</v>
      </c>
      <c r="BE42" s="8">
        <v>-0.22222222222222221</v>
      </c>
      <c r="BF42" s="8">
        <v>-0.33333333333333331</v>
      </c>
      <c r="BG42" s="8">
        <v>-0.25</v>
      </c>
      <c r="BH42" s="8">
        <v>-0.38095238095238093</v>
      </c>
      <c r="BI42" s="8">
        <v>-0.14285714285714285</v>
      </c>
      <c r="BJ42" s="8">
        <v>-0.1111111111111111</v>
      </c>
      <c r="BK42" s="8">
        <v>-0.2</v>
      </c>
      <c r="BL42" s="8">
        <v>-0.1111111111111111</v>
      </c>
      <c r="BM42" s="8">
        <v>-0.23076923076923078</v>
      </c>
      <c r="BN42" s="8">
        <v>-0.32</v>
      </c>
      <c r="BO42" s="8">
        <v>-0.33333333333333331</v>
      </c>
      <c r="BP42" s="8">
        <v>-9.0909090909090912E-2</v>
      </c>
      <c r="BQ42" s="8">
        <v>-0.2857142857142857</v>
      </c>
      <c r="BR42" s="8">
        <v>0</v>
      </c>
      <c r="BS42" s="8" t="e">
        <v>#DIV/0!</v>
      </c>
      <c r="BT42" s="8">
        <v>0</v>
      </c>
      <c r="BU42" s="8">
        <v>0</v>
      </c>
      <c r="BV42">
        <v>247</v>
      </c>
      <c r="BW42">
        <v>-53</v>
      </c>
      <c r="BX42" s="8">
        <v>-0.2145748987854251</v>
      </c>
      <c r="CA42" s="20" t="s">
        <v>56</v>
      </c>
      <c r="DE42" s="20" t="s">
        <v>56</v>
      </c>
    </row>
    <row r="43" spans="1:109">
      <c r="A43" s="20" t="s">
        <v>52</v>
      </c>
      <c r="D43">
        <v>2</v>
      </c>
      <c r="E43">
        <v>5</v>
      </c>
      <c r="F43">
        <v>6</v>
      </c>
      <c r="G43">
        <v>13</v>
      </c>
      <c r="H43">
        <v>18</v>
      </c>
      <c r="I43">
        <v>21</v>
      </c>
      <c r="J43">
        <v>15</v>
      </c>
      <c r="K43">
        <v>26</v>
      </c>
      <c r="L43">
        <v>25</v>
      </c>
      <c r="M43">
        <v>41</v>
      </c>
      <c r="N43">
        <v>42</v>
      </c>
      <c r="O43">
        <v>36</v>
      </c>
      <c r="P43">
        <v>37</v>
      </c>
      <c r="Q43">
        <v>40</v>
      </c>
      <c r="R43">
        <v>40</v>
      </c>
      <c r="S43">
        <v>23</v>
      </c>
      <c r="T43">
        <v>23</v>
      </c>
      <c r="U43">
        <v>15</v>
      </c>
      <c r="V43">
        <v>3</v>
      </c>
      <c r="W43">
        <v>3</v>
      </c>
      <c r="AB43">
        <v>2</v>
      </c>
      <c r="AC43">
        <v>5</v>
      </c>
      <c r="AD43">
        <v>6</v>
      </c>
      <c r="AE43">
        <v>11</v>
      </c>
      <c r="AF43">
        <v>17</v>
      </c>
      <c r="AG43">
        <v>18</v>
      </c>
      <c r="AH43">
        <v>11</v>
      </c>
      <c r="AI43">
        <v>20</v>
      </c>
      <c r="AJ43">
        <v>23</v>
      </c>
      <c r="AK43">
        <v>30</v>
      </c>
      <c r="AL43">
        <v>29</v>
      </c>
      <c r="AM43">
        <v>27</v>
      </c>
      <c r="AN43">
        <v>29</v>
      </c>
      <c r="AO43">
        <v>22</v>
      </c>
      <c r="AP43">
        <v>26</v>
      </c>
      <c r="AQ43">
        <v>15</v>
      </c>
      <c r="AR43">
        <v>14</v>
      </c>
      <c r="AS43">
        <v>8</v>
      </c>
      <c r="AT43">
        <v>3</v>
      </c>
      <c r="AU43">
        <v>3</v>
      </c>
      <c r="AX43" s="8" t="e">
        <v>#DIV/0!</v>
      </c>
      <c r="AY43" s="8" t="e">
        <v>#DIV/0!</v>
      </c>
      <c r="AZ43" s="8">
        <v>1</v>
      </c>
      <c r="BA43" s="8">
        <v>1</v>
      </c>
      <c r="BB43" s="8">
        <v>1</v>
      </c>
      <c r="BC43" s="8">
        <v>0.84615384615384615</v>
      </c>
      <c r="BD43" s="8">
        <v>0.94444444444444442</v>
      </c>
      <c r="BE43" s="8">
        <v>0.8571428571428571</v>
      </c>
      <c r="BF43" s="8">
        <v>0.73333333333333328</v>
      </c>
      <c r="BG43" s="8">
        <v>0.76923076923076927</v>
      </c>
      <c r="BH43" s="8">
        <v>0.92</v>
      </c>
      <c r="BI43" s="8">
        <v>0.73170731707317072</v>
      </c>
      <c r="BJ43" s="8">
        <v>0.69047619047619047</v>
      </c>
      <c r="BK43" s="8">
        <v>0.75</v>
      </c>
      <c r="BL43" s="8">
        <v>0.78378378378378377</v>
      </c>
      <c r="BM43" s="8">
        <v>0.55000000000000004</v>
      </c>
      <c r="BN43" s="8">
        <v>0.65</v>
      </c>
      <c r="BO43" s="8">
        <v>0.65217391304347827</v>
      </c>
      <c r="BP43" s="8">
        <v>0.60869565217391308</v>
      </c>
      <c r="BQ43" s="8">
        <v>0.53333333333333333</v>
      </c>
      <c r="BR43" s="8">
        <v>1</v>
      </c>
      <c r="BS43" s="8">
        <v>1</v>
      </c>
      <c r="BT43" s="8" t="e">
        <v>#DIV/0!</v>
      </c>
      <c r="BU43" s="8" t="e">
        <v>#DIV/0!</v>
      </c>
      <c r="BV43">
        <v>434</v>
      </c>
      <c r="BW43">
        <v>319</v>
      </c>
      <c r="BX43" s="8">
        <v>0.73502304147465436</v>
      </c>
      <c r="CA43" s="20" t="s">
        <v>52</v>
      </c>
      <c r="DE43" s="20" t="s">
        <v>52</v>
      </c>
    </row>
    <row r="44" spans="1:109">
      <c r="A44" s="20" t="s">
        <v>55</v>
      </c>
      <c r="C44">
        <v>3</v>
      </c>
      <c r="D44">
        <v>4</v>
      </c>
      <c r="E44">
        <v>3</v>
      </c>
      <c r="F44">
        <v>5</v>
      </c>
      <c r="G44">
        <v>12</v>
      </c>
      <c r="H44">
        <v>25</v>
      </c>
      <c r="I44">
        <v>20</v>
      </c>
      <c r="J44">
        <v>32</v>
      </c>
      <c r="K44">
        <v>41</v>
      </c>
      <c r="L44">
        <v>51</v>
      </c>
      <c r="M44">
        <v>37</v>
      </c>
      <c r="N44">
        <v>50</v>
      </c>
      <c r="O44">
        <v>59</v>
      </c>
      <c r="P44">
        <v>49</v>
      </c>
      <c r="Q44">
        <v>40</v>
      </c>
      <c r="R44">
        <v>41</v>
      </c>
      <c r="S44">
        <v>25</v>
      </c>
      <c r="T44">
        <v>27</v>
      </c>
      <c r="U44">
        <v>11</v>
      </c>
      <c r="V44">
        <v>9</v>
      </c>
      <c r="W44">
        <v>3</v>
      </c>
      <c r="X44">
        <v>1</v>
      </c>
      <c r="AA44">
        <v>2</v>
      </c>
      <c r="AB44">
        <v>2</v>
      </c>
      <c r="AC44">
        <v>1</v>
      </c>
      <c r="AD44">
        <v>3</v>
      </c>
      <c r="AE44">
        <v>4</v>
      </c>
      <c r="AF44">
        <v>9</v>
      </c>
      <c r="AG44">
        <v>7</v>
      </c>
      <c r="AH44">
        <v>14</v>
      </c>
      <c r="AI44">
        <v>17</v>
      </c>
      <c r="AJ44">
        <v>21</v>
      </c>
      <c r="AK44">
        <v>17</v>
      </c>
      <c r="AL44">
        <v>19</v>
      </c>
      <c r="AM44">
        <v>20</v>
      </c>
      <c r="AN44">
        <v>21</v>
      </c>
      <c r="AO44">
        <v>15</v>
      </c>
      <c r="AP44">
        <v>16</v>
      </c>
      <c r="AQ44">
        <v>8</v>
      </c>
      <c r="AR44">
        <v>14</v>
      </c>
      <c r="AS44">
        <v>6</v>
      </c>
      <c r="AT44">
        <v>4</v>
      </c>
      <c r="AU44">
        <v>3</v>
      </c>
      <c r="AV44">
        <v>1</v>
      </c>
      <c r="AX44" s="8" t="e">
        <v>#DIV/0!</v>
      </c>
      <c r="AY44" s="8">
        <v>0.66666666666666663</v>
      </c>
      <c r="AZ44" s="8">
        <v>0.5</v>
      </c>
      <c r="BA44" s="8">
        <v>0.33333333333333331</v>
      </c>
      <c r="BB44" s="8">
        <v>0.6</v>
      </c>
      <c r="BC44" s="8">
        <v>0.33333333333333331</v>
      </c>
      <c r="BD44" s="8">
        <v>0.36</v>
      </c>
      <c r="BE44" s="8">
        <v>0.35</v>
      </c>
      <c r="BF44" s="8">
        <v>0.4375</v>
      </c>
      <c r="BG44" s="8">
        <v>0.41463414634146339</v>
      </c>
      <c r="BH44" s="8">
        <v>0.41176470588235292</v>
      </c>
      <c r="BI44" s="8">
        <v>0.45945945945945948</v>
      </c>
      <c r="BJ44" s="8">
        <v>0.38</v>
      </c>
      <c r="BK44" s="8">
        <v>0.33898305084745761</v>
      </c>
      <c r="BL44" s="8">
        <v>0.42857142857142855</v>
      </c>
      <c r="BM44" s="8">
        <v>0.375</v>
      </c>
      <c r="BN44" s="8">
        <v>0.3902439024390244</v>
      </c>
      <c r="BO44" s="8">
        <v>0.32</v>
      </c>
      <c r="BP44" s="8">
        <v>0.51851851851851849</v>
      </c>
      <c r="BQ44" s="8">
        <v>0.54545454545454541</v>
      </c>
      <c r="BR44" s="8">
        <v>0.44444444444444442</v>
      </c>
      <c r="BS44" s="8">
        <v>1</v>
      </c>
      <c r="BT44" s="8">
        <v>1</v>
      </c>
      <c r="BU44" s="8" t="e">
        <v>#DIV/0!</v>
      </c>
      <c r="BV44">
        <v>548</v>
      </c>
      <c r="BW44">
        <v>224</v>
      </c>
      <c r="BX44" s="8">
        <v>0.40875912408759124</v>
      </c>
      <c r="CA44" s="20" t="s">
        <v>55</v>
      </c>
      <c r="DE44" s="20" t="s">
        <v>55</v>
      </c>
    </row>
    <row r="45" spans="1:109">
      <c r="A45" s="20" t="s">
        <v>46</v>
      </c>
      <c r="B45">
        <v>4</v>
      </c>
      <c r="C45">
        <v>6</v>
      </c>
      <c r="D45">
        <v>10</v>
      </c>
      <c r="E45">
        <v>18</v>
      </c>
      <c r="F45">
        <v>33</v>
      </c>
      <c r="G45">
        <v>61</v>
      </c>
      <c r="H45">
        <v>93</v>
      </c>
      <c r="I45">
        <v>119</v>
      </c>
      <c r="J45">
        <v>126</v>
      </c>
      <c r="K45">
        <v>191</v>
      </c>
      <c r="L45">
        <v>208</v>
      </c>
      <c r="M45">
        <v>225</v>
      </c>
      <c r="N45">
        <v>250</v>
      </c>
      <c r="O45">
        <v>266</v>
      </c>
      <c r="P45">
        <v>280</v>
      </c>
      <c r="Q45">
        <v>283</v>
      </c>
      <c r="R45">
        <v>238</v>
      </c>
      <c r="S45">
        <v>160</v>
      </c>
      <c r="T45">
        <v>111</v>
      </c>
      <c r="U45">
        <v>72</v>
      </c>
      <c r="V45">
        <v>48</v>
      </c>
      <c r="W45">
        <v>31</v>
      </c>
      <c r="X45">
        <v>16</v>
      </c>
      <c r="Y45">
        <v>10</v>
      </c>
      <c r="Z45">
        <v>2</v>
      </c>
      <c r="AA45">
        <v>1</v>
      </c>
      <c r="AB45">
        <v>3</v>
      </c>
      <c r="AC45">
        <v>9</v>
      </c>
      <c r="AD45">
        <v>13</v>
      </c>
      <c r="AE45">
        <v>29</v>
      </c>
      <c r="AF45">
        <v>31</v>
      </c>
      <c r="AG45">
        <v>35</v>
      </c>
      <c r="AH45">
        <v>44</v>
      </c>
      <c r="AI45">
        <v>51</v>
      </c>
      <c r="AJ45">
        <v>62</v>
      </c>
      <c r="AK45">
        <v>68</v>
      </c>
      <c r="AL45">
        <v>62</v>
      </c>
      <c r="AM45">
        <v>71</v>
      </c>
      <c r="AN45">
        <v>76</v>
      </c>
      <c r="AO45">
        <v>68</v>
      </c>
      <c r="AP45">
        <v>61</v>
      </c>
      <c r="AQ45">
        <v>42</v>
      </c>
      <c r="AR45">
        <v>29</v>
      </c>
      <c r="AS45">
        <v>12</v>
      </c>
      <c r="AT45">
        <v>8</v>
      </c>
      <c r="AU45">
        <v>3</v>
      </c>
      <c r="AV45">
        <v>0</v>
      </c>
      <c r="AW45">
        <v>5</v>
      </c>
      <c r="AX45" s="8">
        <v>0.5</v>
      </c>
      <c r="AY45" s="8">
        <v>0.16666666666666666</v>
      </c>
      <c r="AZ45" s="8">
        <v>0.3</v>
      </c>
      <c r="BA45" s="8">
        <v>0.5</v>
      </c>
      <c r="BB45" s="8">
        <v>0.39393939393939392</v>
      </c>
      <c r="BC45" s="8">
        <v>0.47540983606557374</v>
      </c>
      <c r="BD45" s="8">
        <v>0.33333333333333331</v>
      </c>
      <c r="BE45" s="8">
        <v>0.29411764705882354</v>
      </c>
      <c r="BF45" s="8">
        <v>0.34920634920634919</v>
      </c>
      <c r="BG45" s="8">
        <v>0.26701570680628273</v>
      </c>
      <c r="BH45" s="8">
        <v>0.29807692307692307</v>
      </c>
      <c r="BI45" s="8">
        <v>0.30222222222222223</v>
      </c>
      <c r="BJ45" s="8">
        <v>0.248</v>
      </c>
      <c r="BK45" s="8">
        <v>0.26691729323308272</v>
      </c>
      <c r="BL45" s="8">
        <v>0.27142857142857141</v>
      </c>
      <c r="BM45" s="8">
        <v>0.24028268551236748</v>
      </c>
      <c r="BN45" s="8">
        <v>0.25630252100840334</v>
      </c>
      <c r="BO45" s="8">
        <v>0.26250000000000001</v>
      </c>
      <c r="BP45" s="8">
        <v>0.26126126126126126</v>
      </c>
      <c r="BQ45" s="8">
        <v>0.16666666666666666</v>
      </c>
      <c r="BR45" s="8">
        <v>0.16666666666666666</v>
      </c>
      <c r="BS45" s="8">
        <v>9.6774193548387094E-2</v>
      </c>
      <c r="BT45" s="8">
        <v>0</v>
      </c>
      <c r="BU45" s="8">
        <v>0.5</v>
      </c>
      <c r="BV45">
        <v>2859</v>
      </c>
      <c r="BW45">
        <v>785</v>
      </c>
      <c r="BX45" s="8">
        <v>0.27457152850647082</v>
      </c>
      <c r="CA45" s="20" t="s">
        <v>46</v>
      </c>
      <c r="DE45" s="20" t="s">
        <v>46</v>
      </c>
    </row>
    <row r="46" spans="1:109">
      <c r="A46" s="20" t="s">
        <v>44</v>
      </c>
      <c r="B46">
        <v>1</v>
      </c>
      <c r="C46">
        <v>2</v>
      </c>
      <c r="D46">
        <v>1</v>
      </c>
      <c r="E46">
        <v>7</v>
      </c>
      <c r="F46">
        <v>5</v>
      </c>
      <c r="G46">
        <v>17</v>
      </c>
      <c r="H46">
        <v>27</v>
      </c>
      <c r="I46">
        <v>38</v>
      </c>
      <c r="J46">
        <v>33</v>
      </c>
      <c r="K46">
        <v>51</v>
      </c>
      <c r="L46">
        <v>38</v>
      </c>
      <c r="M46">
        <v>56</v>
      </c>
      <c r="N46">
        <v>73</v>
      </c>
      <c r="O46">
        <v>55</v>
      </c>
      <c r="P46">
        <v>52</v>
      </c>
      <c r="Q46">
        <v>46</v>
      </c>
      <c r="R46">
        <v>41</v>
      </c>
      <c r="S46">
        <v>33</v>
      </c>
      <c r="T46">
        <v>29</v>
      </c>
      <c r="U46">
        <v>16</v>
      </c>
      <c r="V46">
        <v>11</v>
      </c>
      <c r="W46">
        <v>5</v>
      </c>
      <c r="Z46">
        <v>1</v>
      </c>
      <c r="AA46">
        <v>2</v>
      </c>
      <c r="AB46">
        <v>1</v>
      </c>
      <c r="AC46">
        <v>7</v>
      </c>
      <c r="AD46">
        <v>5</v>
      </c>
      <c r="AE46">
        <v>17</v>
      </c>
      <c r="AF46">
        <v>27</v>
      </c>
      <c r="AG46">
        <v>38</v>
      </c>
      <c r="AH46">
        <v>33</v>
      </c>
      <c r="AI46">
        <v>51</v>
      </c>
      <c r="AJ46">
        <v>38</v>
      </c>
      <c r="AK46">
        <v>56</v>
      </c>
      <c r="AL46">
        <v>73</v>
      </c>
      <c r="AM46">
        <v>55</v>
      </c>
      <c r="AN46">
        <v>52</v>
      </c>
      <c r="AO46">
        <v>46</v>
      </c>
      <c r="AP46">
        <v>41</v>
      </c>
      <c r="AQ46">
        <v>33</v>
      </c>
      <c r="AR46">
        <v>29</v>
      </c>
      <c r="AS46">
        <v>16</v>
      </c>
      <c r="AT46">
        <v>11</v>
      </c>
      <c r="AU46">
        <v>5</v>
      </c>
      <c r="AX46" s="8">
        <v>1</v>
      </c>
      <c r="AY46" s="8">
        <v>1</v>
      </c>
      <c r="AZ46" s="8">
        <v>1</v>
      </c>
      <c r="BA46" s="8">
        <v>1</v>
      </c>
      <c r="BB46" s="8">
        <v>1</v>
      </c>
      <c r="BC46" s="8">
        <v>1</v>
      </c>
      <c r="BD46" s="8">
        <v>1</v>
      </c>
      <c r="BE46" s="8">
        <v>1</v>
      </c>
      <c r="BF46" s="8">
        <v>1</v>
      </c>
      <c r="BG46" s="8">
        <v>1</v>
      </c>
      <c r="BH46" s="8">
        <v>1</v>
      </c>
      <c r="BI46" s="8">
        <v>1</v>
      </c>
      <c r="BJ46" s="8">
        <v>1</v>
      </c>
      <c r="BK46" s="8">
        <v>1</v>
      </c>
      <c r="BL46" s="8">
        <v>1</v>
      </c>
      <c r="BM46" s="8">
        <v>1</v>
      </c>
      <c r="BN46" s="8">
        <v>1</v>
      </c>
      <c r="BO46" s="8">
        <v>1</v>
      </c>
      <c r="BP46" s="8">
        <v>1</v>
      </c>
      <c r="BQ46" s="8">
        <v>1</v>
      </c>
      <c r="BR46" s="8">
        <v>1</v>
      </c>
      <c r="BS46" s="8">
        <v>1</v>
      </c>
      <c r="BT46" s="8" t="e">
        <v>#DIV/0!</v>
      </c>
      <c r="BU46" s="8" t="e">
        <v>#DIV/0!</v>
      </c>
      <c r="BV46">
        <v>637</v>
      </c>
      <c r="BW46">
        <v>637</v>
      </c>
      <c r="BX46" s="8">
        <v>1</v>
      </c>
      <c r="CA46" s="20" t="s">
        <v>44</v>
      </c>
      <c r="DE46" s="20" t="s">
        <v>44</v>
      </c>
    </row>
    <row r="47" spans="1:109">
      <c r="A47" s="21" t="s">
        <v>20</v>
      </c>
      <c r="B47" s="22">
        <v>28</v>
      </c>
      <c r="C47" s="22">
        <v>37</v>
      </c>
      <c r="D47" s="22">
        <v>57</v>
      </c>
      <c r="E47" s="22">
        <v>99</v>
      </c>
      <c r="F47" s="22">
        <v>174</v>
      </c>
      <c r="G47" s="22">
        <v>343</v>
      </c>
      <c r="H47" s="22">
        <v>509</v>
      </c>
      <c r="I47" s="22">
        <v>632</v>
      </c>
      <c r="J47" s="22">
        <v>685</v>
      </c>
      <c r="K47" s="22">
        <v>937</v>
      </c>
      <c r="L47" s="22">
        <v>1002</v>
      </c>
      <c r="M47" s="22">
        <v>1160</v>
      </c>
      <c r="N47" s="22">
        <v>1387</v>
      </c>
      <c r="O47" s="22">
        <v>1332</v>
      </c>
      <c r="P47" s="22">
        <v>1423</v>
      </c>
      <c r="Q47" s="22">
        <v>1370</v>
      </c>
      <c r="R47" s="22">
        <v>1229</v>
      </c>
      <c r="S47" s="22">
        <v>869</v>
      </c>
      <c r="T47" s="22">
        <v>688</v>
      </c>
      <c r="U47" s="22">
        <v>403</v>
      </c>
      <c r="V47" s="22">
        <v>239</v>
      </c>
      <c r="W47" s="22">
        <v>126</v>
      </c>
      <c r="X47" s="22">
        <v>53</v>
      </c>
      <c r="Y47" s="22">
        <v>33</v>
      </c>
      <c r="Z47" s="22">
        <v>17</v>
      </c>
      <c r="AA47" s="22">
        <v>19</v>
      </c>
      <c r="AB47" s="22">
        <v>28</v>
      </c>
      <c r="AC47" s="22">
        <v>63</v>
      </c>
      <c r="AD47" s="22">
        <v>100</v>
      </c>
      <c r="AE47" s="22">
        <v>206</v>
      </c>
      <c r="AF47" s="22">
        <v>291</v>
      </c>
      <c r="AG47" s="22">
        <v>346</v>
      </c>
      <c r="AH47" s="22">
        <v>366</v>
      </c>
      <c r="AI47" s="22">
        <v>493</v>
      </c>
      <c r="AJ47" s="22">
        <v>482</v>
      </c>
      <c r="AK47" s="22">
        <v>587</v>
      </c>
      <c r="AL47" s="22">
        <v>666</v>
      </c>
      <c r="AM47" s="22">
        <v>609</v>
      </c>
      <c r="AN47" s="22">
        <v>695</v>
      </c>
      <c r="AO47" s="22">
        <v>585</v>
      </c>
      <c r="AP47" s="22">
        <v>554</v>
      </c>
      <c r="AQ47" s="22">
        <v>387</v>
      </c>
      <c r="AR47" s="22">
        <v>298</v>
      </c>
      <c r="AS47" s="22">
        <v>172</v>
      </c>
      <c r="AT47" s="22">
        <v>94</v>
      </c>
      <c r="AU47" s="22">
        <v>48</v>
      </c>
      <c r="AV47" s="22">
        <v>19</v>
      </c>
      <c r="AW47" s="22">
        <v>10</v>
      </c>
      <c r="AX47" s="23">
        <v>0.6071428571428571</v>
      </c>
      <c r="AY47" s="23">
        <v>0.51351351351351349</v>
      </c>
      <c r="AZ47" s="23">
        <v>0.49122807017543857</v>
      </c>
      <c r="BA47" s="23">
        <v>0.63636363636363635</v>
      </c>
      <c r="BB47" s="23">
        <v>0.57471264367816088</v>
      </c>
      <c r="BC47" s="23">
        <v>0.6005830903790087</v>
      </c>
      <c r="BD47" s="23">
        <v>0.57170923379174854</v>
      </c>
      <c r="BE47" s="23">
        <v>0.54746835443037978</v>
      </c>
      <c r="BF47" s="23">
        <v>0.53430656934306564</v>
      </c>
      <c r="BG47" s="23">
        <v>0.52614727854855925</v>
      </c>
      <c r="BH47" s="23">
        <v>0.48103792415169661</v>
      </c>
      <c r="BI47" s="23">
        <v>0.50603448275862073</v>
      </c>
      <c r="BJ47" s="23">
        <v>0.48017303532804612</v>
      </c>
      <c r="BK47" s="23">
        <v>0.4572072072072072</v>
      </c>
      <c r="BL47" s="23">
        <v>0.48840477863668308</v>
      </c>
      <c r="BM47" s="23">
        <v>0.42700729927007297</v>
      </c>
      <c r="BN47" s="23">
        <v>0.45077298616761596</v>
      </c>
      <c r="BO47" s="23">
        <v>0.44533947065592633</v>
      </c>
      <c r="BP47" s="23">
        <v>0.43313953488372092</v>
      </c>
      <c r="BQ47" s="23">
        <v>0.42679900744416871</v>
      </c>
      <c r="BR47" s="23">
        <v>0.39330543933054396</v>
      </c>
      <c r="BS47" s="23">
        <v>0.38095238095238093</v>
      </c>
      <c r="BT47" s="23">
        <v>0.35849056603773582</v>
      </c>
      <c r="BU47" s="23">
        <v>0.30303030303030304</v>
      </c>
      <c r="BV47" s="22">
        <v>14815</v>
      </c>
      <c r="BW47" s="22">
        <v>7135</v>
      </c>
      <c r="BX47" s="23">
        <v>0.48160647991900102</v>
      </c>
      <c r="CA47" s="21" t="s">
        <v>20</v>
      </c>
      <c r="DE47" s="21" t="s">
        <v>20</v>
      </c>
    </row>
    <row r="49" spans="1:110">
      <c r="A49" s="20" t="s">
        <v>64</v>
      </c>
      <c r="B49">
        <f>+B45+B46</f>
        <v>5</v>
      </c>
      <c r="C49">
        <f t="shared" ref="C49:AW49" si="56">+C45+C46</f>
        <v>8</v>
      </c>
      <c r="D49">
        <f t="shared" si="56"/>
        <v>11</v>
      </c>
      <c r="E49">
        <f t="shared" si="56"/>
        <v>25</v>
      </c>
      <c r="F49">
        <f t="shared" si="56"/>
        <v>38</v>
      </c>
      <c r="G49">
        <f t="shared" si="56"/>
        <v>78</v>
      </c>
      <c r="H49">
        <f t="shared" si="56"/>
        <v>120</v>
      </c>
      <c r="I49">
        <f t="shared" si="56"/>
        <v>157</v>
      </c>
      <c r="J49">
        <f t="shared" si="56"/>
        <v>159</v>
      </c>
      <c r="K49">
        <f t="shared" si="56"/>
        <v>242</v>
      </c>
      <c r="L49">
        <f t="shared" si="56"/>
        <v>246</v>
      </c>
      <c r="M49">
        <f t="shared" si="56"/>
        <v>281</v>
      </c>
      <c r="N49">
        <f t="shared" si="56"/>
        <v>323</v>
      </c>
      <c r="O49">
        <f t="shared" si="56"/>
        <v>321</v>
      </c>
      <c r="P49">
        <f t="shared" si="56"/>
        <v>332</v>
      </c>
      <c r="Q49">
        <f t="shared" si="56"/>
        <v>329</v>
      </c>
      <c r="R49">
        <f t="shared" si="56"/>
        <v>279</v>
      </c>
      <c r="S49">
        <f t="shared" si="56"/>
        <v>193</v>
      </c>
      <c r="T49">
        <f t="shared" si="56"/>
        <v>140</v>
      </c>
      <c r="U49">
        <f t="shared" si="56"/>
        <v>88</v>
      </c>
      <c r="V49">
        <f t="shared" si="56"/>
        <v>59</v>
      </c>
      <c r="W49">
        <f t="shared" si="56"/>
        <v>36</v>
      </c>
      <c r="X49">
        <f t="shared" si="56"/>
        <v>16</v>
      </c>
      <c r="Y49">
        <f t="shared" si="56"/>
        <v>10</v>
      </c>
      <c r="Z49">
        <f t="shared" si="56"/>
        <v>3</v>
      </c>
      <c r="AA49">
        <f t="shared" si="56"/>
        <v>3</v>
      </c>
      <c r="AB49">
        <f t="shared" si="56"/>
        <v>4</v>
      </c>
      <c r="AC49">
        <f t="shared" si="56"/>
        <v>16</v>
      </c>
      <c r="AD49">
        <f t="shared" si="56"/>
        <v>18</v>
      </c>
      <c r="AE49">
        <f t="shared" si="56"/>
        <v>46</v>
      </c>
      <c r="AF49">
        <f t="shared" si="56"/>
        <v>58</v>
      </c>
      <c r="AG49">
        <f t="shared" si="56"/>
        <v>73</v>
      </c>
      <c r="AH49">
        <f t="shared" si="56"/>
        <v>77</v>
      </c>
      <c r="AI49">
        <f t="shared" si="56"/>
        <v>102</v>
      </c>
      <c r="AJ49">
        <f t="shared" si="56"/>
        <v>100</v>
      </c>
      <c r="AK49">
        <f t="shared" si="56"/>
        <v>124</v>
      </c>
      <c r="AL49">
        <f t="shared" si="56"/>
        <v>135</v>
      </c>
      <c r="AM49">
        <f t="shared" si="56"/>
        <v>126</v>
      </c>
      <c r="AN49">
        <f t="shared" si="56"/>
        <v>128</v>
      </c>
      <c r="AO49">
        <f t="shared" si="56"/>
        <v>114</v>
      </c>
      <c r="AP49">
        <f t="shared" si="56"/>
        <v>102</v>
      </c>
      <c r="AQ49">
        <f t="shared" si="56"/>
        <v>75</v>
      </c>
      <c r="AR49">
        <f t="shared" si="56"/>
        <v>58</v>
      </c>
      <c r="AS49">
        <f t="shared" si="56"/>
        <v>28</v>
      </c>
      <c r="AT49">
        <f t="shared" si="56"/>
        <v>19</v>
      </c>
      <c r="AU49">
        <f t="shared" si="56"/>
        <v>8</v>
      </c>
      <c r="AV49">
        <f t="shared" si="56"/>
        <v>0</v>
      </c>
      <c r="AW49">
        <f t="shared" si="56"/>
        <v>5</v>
      </c>
      <c r="AX49" s="8">
        <f t="shared" ref="AX49:BU49" si="57">+Z49/B49</f>
        <v>0.6</v>
      </c>
      <c r="AY49" s="8">
        <f t="shared" si="57"/>
        <v>0.375</v>
      </c>
      <c r="AZ49" s="8">
        <f t="shared" si="57"/>
        <v>0.36363636363636365</v>
      </c>
      <c r="BA49" s="8">
        <f t="shared" si="57"/>
        <v>0.64</v>
      </c>
      <c r="BB49" s="8">
        <f t="shared" si="57"/>
        <v>0.47368421052631576</v>
      </c>
      <c r="BC49" s="8">
        <f t="shared" si="57"/>
        <v>0.58974358974358976</v>
      </c>
      <c r="BD49" s="8">
        <f t="shared" si="57"/>
        <v>0.48333333333333334</v>
      </c>
      <c r="BE49" s="8">
        <f t="shared" si="57"/>
        <v>0.46496815286624205</v>
      </c>
      <c r="BF49" s="8">
        <f t="shared" si="57"/>
        <v>0.48427672955974843</v>
      </c>
      <c r="BG49" s="8">
        <f t="shared" si="57"/>
        <v>0.42148760330578511</v>
      </c>
      <c r="BH49" s="8">
        <f t="shared" si="57"/>
        <v>0.4065040650406504</v>
      </c>
      <c r="BI49" s="8">
        <f t="shared" si="57"/>
        <v>0.44128113879003561</v>
      </c>
      <c r="BJ49" s="8">
        <f t="shared" si="57"/>
        <v>0.41795665634674922</v>
      </c>
      <c r="BK49" s="8">
        <f t="shared" si="57"/>
        <v>0.3925233644859813</v>
      </c>
      <c r="BL49" s="8">
        <f t="shared" si="57"/>
        <v>0.38554216867469882</v>
      </c>
      <c r="BM49" s="8">
        <f t="shared" si="57"/>
        <v>0.34650455927051671</v>
      </c>
      <c r="BN49" s="8">
        <f t="shared" si="57"/>
        <v>0.36559139784946237</v>
      </c>
      <c r="BO49" s="8">
        <f t="shared" si="57"/>
        <v>0.38860103626943004</v>
      </c>
      <c r="BP49" s="8">
        <f t="shared" si="57"/>
        <v>0.41428571428571431</v>
      </c>
      <c r="BQ49" s="8">
        <f t="shared" si="57"/>
        <v>0.31818181818181818</v>
      </c>
      <c r="BR49" s="8">
        <f t="shared" si="57"/>
        <v>0.32203389830508472</v>
      </c>
      <c r="BS49" s="8">
        <f t="shared" si="57"/>
        <v>0.22222222222222221</v>
      </c>
      <c r="BT49" s="8">
        <f t="shared" si="57"/>
        <v>0</v>
      </c>
      <c r="BU49" s="8">
        <f t="shared" si="57"/>
        <v>0.5</v>
      </c>
      <c r="BV49" s="8">
        <f>BV45+BV46</f>
        <v>3496</v>
      </c>
      <c r="BW49" s="8">
        <f>BW45+BW46</f>
        <v>1422</v>
      </c>
      <c r="BX49" s="8">
        <f>BW49/BV49</f>
        <v>0.40675057208237986</v>
      </c>
      <c r="CA49" s="20" t="s">
        <v>205</v>
      </c>
      <c r="CB49" s="8">
        <f t="shared" ref="CB49:CY49" si="58">AX49</f>
        <v>0.6</v>
      </c>
      <c r="CC49" s="8">
        <f t="shared" si="58"/>
        <v>0.375</v>
      </c>
      <c r="CD49" s="8">
        <f t="shared" si="58"/>
        <v>0.36363636363636365</v>
      </c>
      <c r="CE49" s="8">
        <f t="shared" si="58"/>
        <v>0.64</v>
      </c>
      <c r="CF49" s="8">
        <f t="shared" si="58"/>
        <v>0.47368421052631576</v>
      </c>
      <c r="CG49" s="8">
        <f t="shared" si="58"/>
        <v>0.58974358974358976</v>
      </c>
      <c r="CH49" s="8">
        <f t="shared" si="58"/>
        <v>0.48333333333333334</v>
      </c>
      <c r="CI49" s="8">
        <f t="shared" si="58"/>
        <v>0.46496815286624205</v>
      </c>
      <c r="CJ49" s="8">
        <f t="shared" si="58"/>
        <v>0.48427672955974843</v>
      </c>
      <c r="CK49" s="8">
        <f t="shared" si="58"/>
        <v>0.42148760330578511</v>
      </c>
      <c r="CL49" s="8">
        <f t="shared" si="58"/>
        <v>0.4065040650406504</v>
      </c>
      <c r="CM49" s="8">
        <f t="shared" si="58"/>
        <v>0.44128113879003561</v>
      </c>
      <c r="CN49" s="8">
        <f t="shared" si="58"/>
        <v>0.41795665634674922</v>
      </c>
      <c r="CO49" s="8">
        <f t="shared" si="58"/>
        <v>0.3925233644859813</v>
      </c>
      <c r="CP49" s="8">
        <f t="shared" si="58"/>
        <v>0.38554216867469882</v>
      </c>
      <c r="CQ49" s="8">
        <f t="shared" si="58"/>
        <v>0.34650455927051671</v>
      </c>
      <c r="CR49" s="8">
        <f t="shared" si="58"/>
        <v>0.36559139784946237</v>
      </c>
      <c r="CS49" s="8">
        <f t="shared" si="58"/>
        <v>0.38860103626943004</v>
      </c>
      <c r="CT49" s="8">
        <f t="shared" si="58"/>
        <v>0.41428571428571431</v>
      </c>
      <c r="CU49" s="8">
        <f t="shared" si="58"/>
        <v>0.31818181818181818</v>
      </c>
      <c r="CV49" s="8">
        <f t="shared" si="58"/>
        <v>0.32203389830508472</v>
      </c>
      <c r="CW49" s="8">
        <f t="shared" si="58"/>
        <v>0.22222222222222221</v>
      </c>
      <c r="CX49" s="8">
        <f t="shared" si="58"/>
        <v>0</v>
      </c>
      <c r="CY49" s="8">
        <f t="shared" si="58"/>
        <v>0.5</v>
      </c>
      <c r="CZ49" s="8">
        <f>(CZ50*SUM(B50:Y50)+CZ52*SUM(B52:Y52))/SUM(B50:Y50,B52:Y52)</f>
        <v>0.40851793761382027</v>
      </c>
      <c r="DA49" s="8">
        <f>BX49</f>
        <v>0.40675057208237986</v>
      </c>
    </row>
    <row r="50" spans="1:110">
      <c r="A50" s="20" t="s">
        <v>65</v>
      </c>
      <c r="B50" s="18">
        <f t="shared" ref="B50:Y50" si="59">+B46/AX50</f>
        <v>1.4285714285714286</v>
      </c>
      <c r="C50" s="18">
        <f t="shared" si="59"/>
        <v>4.2105263157894735</v>
      </c>
      <c r="D50" s="18">
        <f t="shared" si="59"/>
        <v>2.1568627450980391</v>
      </c>
      <c r="E50" s="18">
        <f t="shared" si="59"/>
        <v>9.4594594594594597</v>
      </c>
      <c r="F50" s="18">
        <f t="shared" si="59"/>
        <v>8.7155963302752291</v>
      </c>
      <c r="G50" s="18">
        <f t="shared" si="59"/>
        <v>24.646840148698885</v>
      </c>
      <c r="H50" s="18">
        <f t="shared" si="59"/>
        <v>46.285714285714285</v>
      </c>
      <c r="I50" s="18">
        <f t="shared" si="59"/>
        <v>67.260428410372043</v>
      </c>
      <c r="J50" s="18">
        <f t="shared" si="59"/>
        <v>56.480086114101184</v>
      </c>
      <c r="K50" s="18">
        <f t="shared" si="59"/>
        <v>97.797147385103003</v>
      </c>
      <c r="L50" s="18">
        <f t="shared" si="59"/>
        <v>75.024077046548967</v>
      </c>
      <c r="M50" s="18">
        <f t="shared" si="59"/>
        <v>103.45825115055884</v>
      </c>
      <c r="N50" s="18">
        <f t="shared" si="59"/>
        <v>140.93843395098625</v>
      </c>
      <c r="O50" s="18">
        <f t="shared" si="59"/>
        <v>111.66982922201139</v>
      </c>
      <c r="P50" s="18">
        <f t="shared" si="59"/>
        <v>107.09677419354838</v>
      </c>
      <c r="Q50" s="18">
        <f t="shared" si="59"/>
        <v>103.02246426140232</v>
      </c>
      <c r="R50" s="18">
        <f t="shared" si="59"/>
        <v>88.06004618937645</v>
      </c>
      <c r="S50" s="18">
        <f t="shared" si="59"/>
        <v>67.539766702014845</v>
      </c>
      <c r="T50" s="18">
        <f t="shared" si="59"/>
        <v>56.388888888888886</v>
      </c>
      <c r="U50" s="18">
        <f t="shared" si="59"/>
        <v>38.260869565217391</v>
      </c>
      <c r="V50" s="18">
        <f t="shared" si="59"/>
        <v>26.064257028112451</v>
      </c>
      <c r="W50" s="18">
        <f t="shared" si="59"/>
        <v>15.517241379310347</v>
      </c>
      <c r="X50" s="18">
        <f t="shared" si="59"/>
        <v>0</v>
      </c>
      <c r="Y50" s="18">
        <f t="shared" si="59"/>
        <v>0</v>
      </c>
      <c r="AX50" s="8">
        <f>+AX49+0.1</f>
        <v>0.7</v>
      </c>
      <c r="AY50" s="8">
        <f t="shared" ref="AY50:BU50" si="60">+AY49+0.1</f>
        <v>0.47499999999999998</v>
      </c>
      <c r="AZ50" s="8">
        <f t="shared" si="60"/>
        <v>0.46363636363636362</v>
      </c>
      <c r="BA50" s="8">
        <f t="shared" si="60"/>
        <v>0.74</v>
      </c>
      <c r="BB50" s="8">
        <f t="shared" si="60"/>
        <v>0.5736842105263158</v>
      </c>
      <c r="BC50" s="8">
        <f t="shared" si="60"/>
        <v>0.68974358974358974</v>
      </c>
      <c r="BD50" s="8">
        <f t="shared" si="60"/>
        <v>0.58333333333333337</v>
      </c>
      <c r="BE50" s="8">
        <f t="shared" si="60"/>
        <v>0.56496815286624202</v>
      </c>
      <c r="BF50" s="8">
        <f t="shared" si="60"/>
        <v>0.58427672955974841</v>
      </c>
      <c r="BG50" s="8">
        <f t="shared" si="60"/>
        <v>0.52148760330578514</v>
      </c>
      <c r="BH50" s="8">
        <f t="shared" si="60"/>
        <v>0.50650406504065038</v>
      </c>
      <c r="BI50" s="8">
        <f t="shared" si="60"/>
        <v>0.54128113879003559</v>
      </c>
      <c r="BJ50" s="8">
        <f t="shared" si="60"/>
        <v>0.51795665634674926</v>
      </c>
      <c r="BK50" s="8">
        <f t="shared" si="60"/>
        <v>0.49252336448598133</v>
      </c>
      <c r="BL50" s="8">
        <f t="shared" si="60"/>
        <v>0.48554216867469879</v>
      </c>
      <c r="BM50" s="8">
        <f t="shared" si="60"/>
        <v>0.44650455927051669</v>
      </c>
      <c r="BN50" s="8">
        <f t="shared" si="60"/>
        <v>0.46559139784946235</v>
      </c>
      <c r="BO50" s="8">
        <f t="shared" si="60"/>
        <v>0.48860103626943008</v>
      </c>
      <c r="BP50" s="8">
        <f t="shared" si="60"/>
        <v>0.51428571428571435</v>
      </c>
      <c r="BQ50" s="8">
        <f t="shared" si="60"/>
        <v>0.41818181818181821</v>
      </c>
      <c r="BR50" s="8">
        <f t="shared" si="60"/>
        <v>0.42203389830508475</v>
      </c>
      <c r="BS50" s="8">
        <f t="shared" si="60"/>
        <v>0.32222222222222219</v>
      </c>
      <c r="BT50" s="8">
        <f t="shared" si="60"/>
        <v>0.1</v>
      </c>
      <c r="BU50" s="8">
        <f t="shared" si="60"/>
        <v>0.6</v>
      </c>
      <c r="BX50" s="8">
        <f>+BX49+0.1</f>
        <v>0.50675057208237984</v>
      </c>
      <c r="CA50" s="20" t="s">
        <v>206</v>
      </c>
      <c r="CB50" s="8">
        <f t="shared" ref="CB50:CR50" si="61">AX50</f>
        <v>0.7</v>
      </c>
      <c r="CC50" s="8">
        <f t="shared" si="61"/>
        <v>0.47499999999999998</v>
      </c>
      <c r="CD50" s="8">
        <f t="shared" si="61"/>
        <v>0.46363636363636362</v>
      </c>
      <c r="CE50" s="8">
        <f t="shared" si="61"/>
        <v>0.74</v>
      </c>
      <c r="CF50" s="8">
        <f t="shared" si="61"/>
        <v>0.5736842105263158</v>
      </c>
      <c r="CG50" s="8">
        <f t="shared" si="61"/>
        <v>0.68974358974358974</v>
      </c>
      <c r="CH50" s="8">
        <f t="shared" si="61"/>
        <v>0.58333333333333337</v>
      </c>
      <c r="CI50" s="8">
        <f t="shared" si="61"/>
        <v>0.56496815286624202</v>
      </c>
      <c r="CJ50" s="8">
        <f t="shared" si="61"/>
        <v>0.58427672955974841</v>
      </c>
      <c r="CK50" s="8">
        <f t="shared" si="61"/>
        <v>0.52148760330578514</v>
      </c>
      <c r="CL50" s="8">
        <f t="shared" si="61"/>
        <v>0.50650406504065038</v>
      </c>
      <c r="CM50" s="8">
        <f t="shared" si="61"/>
        <v>0.54128113879003559</v>
      </c>
      <c r="CN50" s="8">
        <f t="shared" si="61"/>
        <v>0.51795665634674926</v>
      </c>
      <c r="CO50" s="8">
        <f t="shared" si="61"/>
        <v>0.49252336448598133</v>
      </c>
      <c r="CP50" s="8">
        <f t="shared" si="61"/>
        <v>0.48554216867469879</v>
      </c>
      <c r="CQ50" s="8">
        <f t="shared" si="61"/>
        <v>0.44650455927051669</v>
      </c>
      <c r="CR50" s="7">
        <f t="shared" si="61"/>
        <v>0.46559139784946235</v>
      </c>
      <c r="CS50" s="7">
        <v>0.49</v>
      </c>
      <c r="CT50" s="7">
        <v>0.48</v>
      </c>
      <c r="CU50" s="7">
        <v>0.47</v>
      </c>
      <c r="CV50" s="7">
        <v>0.46</v>
      </c>
      <c r="CW50" s="8">
        <f>BS50</f>
        <v>0.32222222222222219</v>
      </c>
      <c r="CX50" s="8">
        <f>BT50</f>
        <v>0.1</v>
      </c>
      <c r="CY50" s="8">
        <f>BU50</f>
        <v>0.6</v>
      </c>
      <c r="CZ50" s="8">
        <f>SUMPRODUCT(CB50:CY50,B50:Y50)/SUM(B50:Y50)</f>
        <v>0.5099020616114287</v>
      </c>
      <c r="DA50" s="8">
        <f>BX50</f>
        <v>0.50675057208237984</v>
      </c>
    </row>
    <row r="51" spans="1:110">
      <c r="A51" s="20" t="s">
        <v>66</v>
      </c>
      <c r="B51" s="18">
        <f>+B50-B46</f>
        <v>0.4285714285714286</v>
      </c>
      <c r="C51" s="18">
        <f t="shared" ref="C51:Y51" si="62">+C50-C46</f>
        <v>2.2105263157894735</v>
      </c>
      <c r="D51" s="18">
        <f t="shared" si="62"/>
        <v>1.1568627450980391</v>
      </c>
      <c r="E51" s="18">
        <f t="shared" si="62"/>
        <v>2.4594594594594597</v>
      </c>
      <c r="F51" s="18">
        <f t="shared" si="62"/>
        <v>3.7155963302752291</v>
      </c>
      <c r="G51" s="18">
        <f t="shared" si="62"/>
        <v>7.6468401486988853</v>
      </c>
      <c r="H51" s="18">
        <f t="shared" si="62"/>
        <v>19.285714285714285</v>
      </c>
      <c r="I51" s="18">
        <f t="shared" si="62"/>
        <v>29.260428410372043</v>
      </c>
      <c r="J51" s="18">
        <f t="shared" si="62"/>
        <v>23.480086114101184</v>
      </c>
      <c r="K51" s="18">
        <f t="shared" si="62"/>
        <v>46.797147385103003</v>
      </c>
      <c r="L51" s="18">
        <f t="shared" si="62"/>
        <v>37.024077046548967</v>
      </c>
      <c r="M51" s="18">
        <f t="shared" si="62"/>
        <v>47.458251150558837</v>
      </c>
      <c r="N51" s="18">
        <f t="shared" si="62"/>
        <v>67.938433950986251</v>
      </c>
      <c r="O51" s="18">
        <f t="shared" si="62"/>
        <v>56.669829222011387</v>
      </c>
      <c r="P51" s="18">
        <f t="shared" si="62"/>
        <v>55.096774193548384</v>
      </c>
      <c r="Q51" s="18">
        <f t="shared" si="62"/>
        <v>57.02246426140232</v>
      </c>
      <c r="R51" s="18">
        <f t="shared" si="62"/>
        <v>47.06004618937645</v>
      </c>
      <c r="S51" s="18">
        <f t="shared" si="62"/>
        <v>34.539766702014845</v>
      </c>
      <c r="T51" s="18">
        <f t="shared" si="62"/>
        <v>27.388888888888886</v>
      </c>
      <c r="U51" s="18">
        <f t="shared" si="62"/>
        <v>22.260869565217391</v>
      </c>
      <c r="V51" s="18">
        <f t="shared" si="62"/>
        <v>15.064257028112451</v>
      </c>
      <c r="W51" s="18">
        <f t="shared" si="62"/>
        <v>10.517241379310347</v>
      </c>
      <c r="X51" s="18">
        <f t="shared" si="62"/>
        <v>0</v>
      </c>
      <c r="Y51" s="18">
        <f t="shared" si="62"/>
        <v>0</v>
      </c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X51" s="8"/>
      <c r="CA51" s="20" t="s">
        <v>213</v>
      </c>
      <c r="CB51" s="8">
        <f t="shared" ref="CB51:CY51" si="63">(CB50*B50+CB52*B52)/B49</f>
        <v>0.6</v>
      </c>
      <c r="CC51" s="8">
        <f t="shared" si="63"/>
        <v>0.375</v>
      </c>
      <c r="CD51" s="8">
        <f t="shared" si="63"/>
        <v>0.36363636363636365</v>
      </c>
      <c r="CE51" s="8">
        <f t="shared" si="63"/>
        <v>0.64</v>
      </c>
      <c r="CF51" s="8">
        <f t="shared" si="63"/>
        <v>0.47368421052631576</v>
      </c>
      <c r="CG51" s="8">
        <f t="shared" si="63"/>
        <v>0.58974358974358976</v>
      </c>
      <c r="CH51" s="8">
        <f t="shared" si="63"/>
        <v>0.48333333333333334</v>
      </c>
      <c r="CI51" s="8">
        <f t="shared" si="63"/>
        <v>0.46496815286624205</v>
      </c>
      <c r="CJ51" s="8">
        <f t="shared" si="63"/>
        <v>0.48427672955974843</v>
      </c>
      <c r="CK51" s="8">
        <f t="shared" si="63"/>
        <v>0.42148760330578511</v>
      </c>
      <c r="CL51" s="8">
        <f t="shared" si="63"/>
        <v>0.4065040650406504</v>
      </c>
      <c r="CM51" s="8">
        <f t="shared" si="63"/>
        <v>0.44128113879003561</v>
      </c>
      <c r="CN51" s="8">
        <f t="shared" si="63"/>
        <v>0.41795665634674922</v>
      </c>
      <c r="CO51" s="8">
        <f t="shared" si="63"/>
        <v>0.3925233644859813</v>
      </c>
      <c r="CP51" s="8">
        <f t="shared" si="63"/>
        <v>0.38554216867469882</v>
      </c>
      <c r="CQ51" s="8">
        <f t="shared" si="63"/>
        <v>0.34650455927051671</v>
      </c>
      <c r="CR51" s="8">
        <f t="shared" si="63"/>
        <v>0.36559139784946237</v>
      </c>
      <c r="CS51" s="8">
        <f t="shared" si="63"/>
        <v>0.39249204665959697</v>
      </c>
      <c r="CT51" s="8">
        <f t="shared" si="63"/>
        <v>0.39041666666666663</v>
      </c>
      <c r="CU51" s="8">
        <f t="shared" si="63"/>
        <v>0.38521739130434779</v>
      </c>
      <c r="CV51" s="8">
        <f t="shared" si="63"/>
        <v>0.3706827309236948</v>
      </c>
      <c r="CW51" s="8">
        <f t="shared" si="63"/>
        <v>0.22222222222222221</v>
      </c>
      <c r="CX51" s="8">
        <f t="shared" si="63"/>
        <v>0</v>
      </c>
      <c r="CY51" s="8">
        <f t="shared" si="63"/>
        <v>0.5</v>
      </c>
      <c r="CZ51" s="8">
        <f>(CZ50*SUM(B50:Y50)+CZ52*SUM(B52:Y52))/SUM(B49:Y49)</f>
        <v>0.40851793761382044</v>
      </c>
      <c r="DA51" s="8" t="e">
        <f>(DA50*AA50+DA52+AA52)/AA49</f>
        <v>#DIV/0!</v>
      </c>
    </row>
    <row r="52" spans="1:110">
      <c r="A52" s="20" t="s">
        <v>67</v>
      </c>
      <c r="B52" s="18">
        <f>+B45-B51</f>
        <v>3.5714285714285712</v>
      </c>
      <c r="C52" s="18">
        <f t="shared" ref="C52:Y52" si="64">+C45-C51</f>
        <v>3.7894736842105265</v>
      </c>
      <c r="D52" s="18">
        <f t="shared" si="64"/>
        <v>8.8431372549019613</v>
      </c>
      <c r="E52" s="18">
        <f t="shared" si="64"/>
        <v>15.54054054054054</v>
      </c>
      <c r="F52" s="18">
        <f t="shared" si="64"/>
        <v>29.284403669724771</v>
      </c>
      <c r="G52" s="18">
        <f t="shared" si="64"/>
        <v>53.353159851301115</v>
      </c>
      <c r="H52" s="18">
        <f t="shared" si="64"/>
        <v>73.714285714285722</v>
      </c>
      <c r="I52" s="18">
        <f t="shared" si="64"/>
        <v>89.739571589627957</v>
      </c>
      <c r="J52" s="18">
        <f t="shared" si="64"/>
        <v>102.51991388589882</v>
      </c>
      <c r="K52" s="18">
        <f t="shared" si="64"/>
        <v>144.20285261489698</v>
      </c>
      <c r="L52" s="18">
        <f t="shared" si="64"/>
        <v>170.97592295345103</v>
      </c>
      <c r="M52" s="18">
        <f t="shared" si="64"/>
        <v>177.54174884944115</v>
      </c>
      <c r="N52" s="18">
        <f t="shared" si="64"/>
        <v>182.06156604901375</v>
      </c>
      <c r="O52" s="18">
        <f t="shared" si="64"/>
        <v>209.3301707779886</v>
      </c>
      <c r="P52" s="18">
        <f t="shared" si="64"/>
        <v>224.90322580645162</v>
      </c>
      <c r="Q52" s="18">
        <f t="shared" si="64"/>
        <v>225.97753573859768</v>
      </c>
      <c r="R52" s="18">
        <f t="shared" si="64"/>
        <v>190.93995381062354</v>
      </c>
      <c r="S52" s="18">
        <f t="shared" si="64"/>
        <v>125.46023329798516</v>
      </c>
      <c r="T52" s="18">
        <f t="shared" si="64"/>
        <v>83.611111111111114</v>
      </c>
      <c r="U52" s="18">
        <f t="shared" si="64"/>
        <v>49.739130434782609</v>
      </c>
      <c r="V52" s="18">
        <f t="shared" si="64"/>
        <v>32.935742971887549</v>
      </c>
      <c r="W52" s="18">
        <f t="shared" si="64"/>
        <v>20.482758620689651</v>
      </c>
      <c r="X52" s="18">
        <f t="shared" si="64"/>
        <v>16</v>
      </c>
      <c r="Y52" s="18">
        <f t="shared" si="64"/>
        <v>10</v>
      </c>
      <c r="AX52" s="8">
        <f t="shared" ref="AX52:BU52" si="65">+Z45/B52</f>
        <v>0.56000000000000005</v>
      </c>
      <c r="AY52" s="8">
        <f t="shared" si="65"/>
        <v>0.2638888888888889</v>
      </c>
      <c r="AZ52" s="8">
        <f t="shared" si="65"/>
        <v>0.3392461197339246</v>
      </c>
      <c r="BA52" s="8">
        <f t="shared" si="65"/>
        <v>0.57913043478260873</v>
      </c>
      <c r="BB52" s="8">
        <f t="shared" si="65"/>
        <v>0.443922305764411</v>
      </c>
      <c r="BC52" s="8">
        <f t="shared" si="65"/>
        <v>0.54354793756967668</v>
      </c>
      <c r="BD52" s="8">
        <f t="shared" si="65"/>
        <v>0.4205426356589147</v>
      </c>
      <c r="BE52" s="8">
        <f t="shared" si="65"/>
        <v>0.39001746253093633</v>
      </c>
      <c r="BF52" s="8">
        <f t="shared" si="65"/>
        <v>0.42918490986024926</v>
      </c>
      <c r="BG52" s="8">
        <f t="shared" si="65"/>
        <v>0.35366845436961492</v>
      </c>
      <c r="BH52" s="8">
        <f t="shared" si="65"/>
        <v>0.36262415741940329</v>
      </c>
      <c r="BI52" s="8">
        <f t="shared" si="65"/>
        <v>0.383008506115738</v>
      </c>
      <c r="BJ52" s="8">
        <f t="shared" si="65"/>
        <v>0.34054414309118186</v>
      </c>
      <c r="BK52" s="8">
        <f t="shared" si="65"/>
        <v>0.33917709872458462</v>
      </c>
      <c r="BL52" s="8">
        <f t="shared" si="65"/>
        <v>0.3379231210556512</v>
      </c>
      <c r="BM52" s="8">
        <f t="shared" si="65"/>
        <v>0.30091486650540272</v>
      </c>
      <c r="BN52" s="8">
        <f t="shared" si="65"/>
        <v>0.31947216275384938</v>
      </c>
      <c r="BO52" s="8">
        <f t="shared" si="65"/>
        <v>0.33476743104920165</v>
      </c>
      <c r="BP52" s="8">
        <f t="shared" si="65"/>
        <v>0.34684385382059801</v>
      </c>
      <c r="BQ52" s="8">
        <f t="shared" si="65"/>
        <v>0.24125874125874125</v>
      </c>
      <c r="BR52" s="8">
        <f t="shared" si="65"/>
        <v>0.24289720765760273</v>
      </c>
      <c r="BS52" s="8">
        <f t="shared" si="65"/>
        <v>0.14646464646464649</v>
      </c>
      <c r="BT52" s="8">
        <f t="shared" si="65"/>
        <v>0</v>
      </c>
      <c r="BU52" s="8">
        <f t="shared" si="65"/>
        <v>0.5</v>
      </c>
      <c r="BX52" s="8" t="e">
        <f>+AZ45/AB52</f>
        <v>#DIV/0!</v>
      </c>
      <c r="CA52" s="20" t="s">
        <v>207</v>
      </c>
      <c r="CB52" s="8">
        <f t="shared" ref="CB52:CR52" si="66">AX52</f>
        <v>0.56000000000000005</v>
      </c>
      <c r="CC52" s="8">
        <f t="shared" si="66"/>
        <v>0.2638888888888889</v>
      </c>
      <c r="CD52" s="8">
        <f t="shared" si="66"/>
        <v>0.3392461197339246</v>
      </c>
      <c r="CE52" s="8">
        <f t="shared" si="66"/>
        <v>0.57913043478260873</v>
      </c>
      <c r="CF52" s="8">
        <f t="shared" si="66"/>
        <v>0.443922305764411</v>
      </c>
      <c r="CG52" s="8">
        <f t="shared" si="66"/>
        <v>0.54354793756967668</v>
      </c>
      <c r="CH52" s="8">
        <f t="shared" si="66"/>
        <v>0.4205426356589147</v>
      </c>
      <c r="CI52" s="8">
        <f t="shared" si="66"/>
        <v>0.39001746253093633</v>
      </c>
      <c r="CJ52" s="8">
        <f t="shared" si="66"/>
        <v>0.42918490986024926</v>
      </c>
      <c r="CK52" s="8">
        <f t="shared" si="66"/>
        <v>0.35366845436961492</v>
      </c>
      <c r="CL52" s="8">
        <f t="shared" si="66"/>
        <v>0.36262415741940329</v>
      </c>
      <c r="CM52" s="8">
        <f t="shared" si="66"/>
        <v>0.383008506115738</v>
      </c>
      <c r="CN52" s="8">
        <f t="shared" si="66"/>
        <v>0.34054414309118186</v>
      </c>
      <c r="CO52" s="8">
        <f t="shared" si="66"/>
        <v>0.33917709872458462</v>
      </c>
      <c r="CP52" s="8">
        <f t="shared" si="66"/>
        <v>0.3379231210556512</v>
      </c>
      <c r="CQ52" s="8">
        <f t="shared" si="66"/>
        <v>0.30091486650540272</v>
      </c>
      <c r="CR52" s="7">
        <f t="shared" si="66"/>
        <v>0.31947216275384938</v>
      </c>
      <c r="CS52" s="7">
        <v>0.34</v>
      </c>
      <c r="CT52" s="7">
        <v>0.33</v>
      </c>
      <c r="CU52" s="7">
        <v>0.32</v>
      </c>
      <c r="CV52" s="7">
        <v>0.3</v>
      </c>
      <c r="CW52" s="7">
        <f>BS52</f>
        <v>0.14646464646464649</v>
      </c>
      <c r="CX52" s="8">
        <f>BT52</f>
        <v>0</v>
      </c>
      <c r="CY52" s="8">
        <f>BU52</f>
        <v>0.5</v>
      </c>
      <c r="CZ52" s="8">
        <f>SUMPRODUCT(CB52:CY52,B52:Y52)/SUM(B52:Y52)</f>
        <v>0.35198890681741912</v>
      </c>
      <c r="DA52" s="8" t="e">
        <f>BX52</f>
        <v>#DIV/0!</v>
      </c>
    </row>
    <row r="58" spans="1:110">
      <c r="CA58" s="19" t="str">
        <f>"{"&amp;CA59&amp;CA60&amp;CA61&amp;CA62&amp;CA63&amp;CA64&amp;CA65&amp;CA66&amp;CA67&amp;CA68&amp;CA69&amp;"}"</f>
        <v>{'qp':0,'qr':1,'th':2,'ulp':3,'um':4,'uog':5,'uso':6,'uso':7,'wa':8,'wh':9,'zz':10,}</v>
      </c>
      <c r="CB58" t="e">
        <f>ROUND(BZ11,4)</f>
        <v>#VALUE!</v>
      </c>
    </row>
    <row r="59" spans="1:110">
      <c r="BY59" t="s">
        <v>375</v>
      </c>
      <c r="BZ59">
        <v>0</v>
      </c>
      <c r="CA59" s="26" t="str">
        <f>"'"&amp;BY59&amp;"':"&amp;BZ59&amp;","</f>
        <v>'qp':0,</v>
      </c>
      <c r="CB59" t="str">
        <f>"['"&amp;BZ11&amp;"',"&amp;ROUND(CB11,4)&amp;","&amp;ROUND(CC11,4)&amp;","&amp;ROUND(CD11,4)&amp;","&amp;ROUND(CE11,4)&amp;","&amp;ROUND(CF11,4)&amp;","&amp;ROUND(CG11,4)&amp;","&amp;ROUND(CH11,4)&amp;","&amp;ROUND(CI11,4)&amp;","&amp;ROUND(CJ11,4)&amp;","&amp;ROUND(CK11,4)&amp;","&amp;ROUND(CL11,4)&amp;","&amp;ROUND(CM11,4)&amp;","&amp;ROUND(CN11,4)&amp;","&amp;ROUND(CO11,4)&amp;","&amp;ROUND(CP11,4)&amp;","&amp;ROUND(CQ11,4)&amp;","&amp;ROUND(CR11,4)&amp;","&amp;ROUND(CS11,4)&amp;","&amp;ROUND(CT11,4)&amp;","&amp;ROUND(CU11,4)&amp;","&amp;ROUND(CV11,4)&amp;","&amp;ROUND(CW11,4)&amp;","&amp;ROUND(CX11,4)&amp;","&amp;ROUND(CY11,4)&amp;"],"</f>
        <v>['qp',0.7,0.68,0.66,0.64,0.6196,0.58,0.54,0.5009,0.4865,0.455,0.4459,0.4177,0.4006,0.3845,0.3795,0.3745,0.3695,0.3645,0.3595,0.3545,0.3495,0.3445,0.3395,0.3345],</v>
      </c>
      <c r="DF59" t="str">
        <f>"['"&amp;BZ11&amp;"',"&amp;ROUND(DF11,4)&amp;","&amp;ROUND(DG11,4)&amp;","&amp;ROUND(DH11,4)&amp;","&amp;ROUND(DI11,4)&amp;","&amp;ROUND(DJ11,4)&amp;","&amp;ROUND(DK11,4)&amp;","&amp;ROUND(DL11,4)&amp;","&amp;ROUND(DM11,4)&amp;","&amp;ROUND(DN11,4)&amp;","&amp;ROUND(DO11,4)&amp;","&amp;ROUND(DP11,4)&amp;","&amp;ROUND(DQ11,4)&amp;","&amp;ROUND(DR11,4)&amp;","&amp;ROUND(DS11,4)&amp;","&amp;ROUND(DT11,4)&amp;","&amp;ROUND(DU11,4)&amp;","&amp;ROUND(DV11,4)&amp;","&amp;ROUND(DW11,4)&amp;","&amp;ROUND(DX11,4)&amp;","&amp;ROUND(DY11,4)&amp;","&amp;ROUND(DZ11,4)&amp;","&amp;ROUND(EA11,4)&amp;","&amp;ROUND(EB11,4)&amp;","&amp;ROUND(EC11,4)&amp;"],"</f>
        <v>['qp',0.5899,0.5731,0.5562,0.5394,0.5222,0.4888,0.4551,0.4222,0.41,0.3835,0.3758,0.352,0.3376,0.324,0.3198,0.3156,0.3114,0.3072,0.303,0.2988,0.2945,0.2903,0.2861,0.2819],</v>
      </c>
    </row>
    <row r="60" spans="1:110">
      <c r="BY60" t="s">
        <v>376</v>
      </c>
      <c r="BZ60">
        <v>1</v>
      </c>
      <c r="CA60" s="26" t="str">
        <f t="shared" ref="CA60:CA69" si="67">"'"&amp;BY60&amp;"':"&amp;BZ60&amp;","</f>
        <v>'qr':1,</v>
      </c>
      <c r="CB60" t="str">
        <f>"['"&amp;BZ12&amp;"',"&amp;ROUND(CB12,4)&amp;","&amp;ROUND(CC12,4)&amp;","&amp;ROUND(CD12,4)&amp;","&amp;ROUND(CE12,4)&amp;","&amp;ROUND(CF12,4)&amp;","&amp;ROUND(CG12,4)&amp;","&amp;ROUND(CH12,4)&amp;","&amp;ROUND(CI12,4)&amp;","&amp;ROUND(CJ12,4)&amp;","&amp;ROUND(CK12,4)&amp;","&amp;ROUND(CL12,4)&amp;","&amp;ROUND(CM12,4)&amp;","&amp;ROUND(CN12,4)&amp;","&amp;ROUND(CO12,4)&amp;","&amp;ROUND(CP12,4)&amp;","&amp;ROUND(CQ12,4)&amp;","&amp;ROUND(CR12,4)&amp;","&amp;ROUND(CS12,4)&amp;","&amp;ROUND(CT12,4)&amp;","&amp;ROUND(CU12,4)&amp;","&amp;ROUND(CV12,4)&amp;","&amp;ROUND(CW12,4)&amp;","&amp;ROUND(CX12,4)&amp;","&amp;ROUND(CY12,4)&amp;"],"</f>
        <v>['qr',0.6,0.59,0.58,0.57,0.55,0.53,0.5085,0.4557,0.4395,0.4189,0.3942,0.3697,0.3667,0.3452,0.3428,0.3273,0.3001,0.2989,0.2909,0.28,0.2692,0.259,0.24,0.23],</v>
      </c>
      <c r="DF60" t="str">
        <f>"['"&amp;BZ12&amp;"',"&amp;ROUND(DF12,4)&amp;","&amp;ROUND(DG12,4)&amp;","&amp;ROUND(DH12,4)&amp;","&amp;ROUND(DI12,4)&amp;","&amp;ROUND(DJ12,4)&amp;","&amp;ROUND(DK12,4)&amp;","&amp;ROUND(DL12,4)&amp;","&amp;ROUND(DM12,4)&amp;","&amp;ROUND(DN12,4)&amp;","&amp;ROUND(DO12,4)&amp;","&amp;ROUND(DP12,4)&amp;","&amp;ROUND(DQ12,4)&amp;","&amp;ROUND(DR12,4)&amp;","&amp;ROUND(DS12,4)&amp;","&amp;ROUND(DT12,4)&amp;","&amp;ROUND(DU12,4)&amp;","&amp;ROUND(DV12,4)&amp;","&amp;ROUND(DW12,4)&amp;","&amp;ROUND(DX12,4)&amp;","&amp;ROUND(DY12,4)&amp;","&amp;ROUND(DZ12,4)&amp;","&amp;ROUND(EA12,4)&amp;","&amp;ROUND(EB12,4)&amp;","&amp;ROUND(EC12,4)&amp;"],"</f>
        <v>['qr',0.9386,0.9229,0.9073,0.8916,0.8604,0.8291,0.7954,0.7128,0.6875,0.6553,0.6166,0.5782,0.5736,0.54,0.5362,0.512,0.4694,0.4675,0.455,0.438,0.4212,0.4052,0.3754,0.3598],</v>
      </c>
    </row>
    <row r="61" spans="1:110">
      <c r="BY61" t="s">
        <v>377</v>
      </c>
      <c r="BZ61">
        <v>2</v>
      </c>
      <c r="CA61" s="26" t="str">
        <f t="shared" si="67"/>
        <v>'th':2,</v>
      </c>
      <c r="CB61" t="str">
        <f>"['"&amp;BZ14&amp;"',"&amp;ROUND(CB14,4)&amp;","&amp;ROUND(CC14,4)&amp;","&amp;ROUND(CD14,4)&amp;","&amp;ROUND(CE14,4)&amp;","&amp;ROUND(CF14,4)&amp;","&amp;ROUND(CG14,4)&amp;","&amp;ROUND(CH14,4)&amp;","&amp;ROUND(CI14,4)&amp;","&amp;ROUND(CJ14,4)&amp;","&amp;ROUND(CK14,4)&amp;","&amp;ROUND(CL14,4)&amp;","&amp;ROUND(CM14,4)&amp;","&amp;ROUND(CN14,4)&amp;","&amp;ROUND(CO14,4)&amp;","&amp;ROUND(CP14,4)&amp;","&amp;ROUND(CQ14,4)&amp;","&amp;ROUND(CR14,4)&amp;","&amp;ROUND(CS14,4)&amp;","&amp;ROUND(CT14,4)&amp;","&amp;ROUND(CU14,4)&amp;","&amp;ROUND(CV14,4)&amp;","&amp;ROUND(CW14,4)&amp;","&amp;ROUND(CX14,4)&amp;","&amp;ROUND(CY14,4)&amp;"],"</f>
        <v>['th',0.41,0.4,0.39,0.38,0.37,0.36,0.35,0.3439,0.3327,0.3077,0.297,0.2829,0.2749,0.2699,0.2649,0.2599,0.2549,0.2499,0.2449,0.2399,0.2349,0.2299,0.2249,0.2199],</v>
      </c>
      <c r="DF61" t="str">
        <f>"['"&amp;BZ14&amp;"',"&amp;ROUND(DF14,4)&amp;","&amp;ROUND(DG14,4)&amp;","&amp;ROUND(DH14,4)&amp;","&amp;ROUND(DI14,4)&amp;","&amp;ROUND(DJ14,4)&amp;","&amp;ROUND(DK14,4)&amp;","&amp;ROUND(DL14,4)&amp;","&amp;ROUND(DM14,4)&amp;","&amp;ROUND(DN14,4)&amp;","&amp;ROUND(DO14,4)&amp;","&amp;ROUND(DP14,4)&amp;","&amp;ROUND(DQ14,4)&amp;","&amp;ROUND(DR14,4)&amp;","&amp;ROUND(DS14,4)&amp;","&amp;ROUND(DT14,4)&amp;","&amp;ROUND(DU14,4)&amp;","&amp;ROUND(DV14,4)&amp;","&amp;ROUND(DW14,4)&amp;","&amp;ROUND(DX14,4)&amp;","&amp;ROUND(DY14,4)&amp;","&amp;ROUND(DZ14,4)&amp;","&amp;ROUND(EA14,4)&amp;","&amp;ROUND(EB14,4)&amp;","&amp;ROUND(EC14,4)&amp;"],"</f>
        <v>['th',0.5668,0.553,0.5392,0.5253,0.5115,0.4977,0.4839,0.4754,0.4599,0.4254,0.4106,0.3911,0.38,0.3731,0.3662,0.3593,0.3524,0.3454,0.3385,0.3316,0.3247,0.3178,0.3109,0.304],</v>
      </c>
    </row>
    <row r="62" spans="1:110">
      <c r="BY62" t="s">
        <v>378</v>
      </c>
      <c r="BZ62">
        <v>3</v>
      </c>
      <c r="CA62" s="26" t="str">
        <f t="shared" si="67"/>
        <v>'ulp':3,</v>
      </c>
      <c r="CB62" t="str">
        <f t="shared" ref="CB62:CB70" si="68">"['"&amp;BZ16&amp;"',"&amp;ROUND(CB16,4)&amp;","&amp;ROUND(CC16,4)&amp;","&amp;ROUND(CD16,4)&amp;","&amp;ROUND(CE16,4)&amp;","&amp;ROUND(CF16,4)&amp;","&amp;ROUND(CG16,4)&amp;","&amp;ROUND(CH16,4)&amp;","&amp;ROUND(CI16,4)&amp;","&amp;ROUND(CJ16,4)&amp;","&amp;ROUND(CK16,4)&amp;","&amp;ROUND(CL16,4)&amp;","&amp;ROUND(CM16,4)&amp;","&amp;ROUND(CN16,4)&amp;","&amp;ROUND(CO16,4)&amp;","&amp;ROUND(CP16,4)&amp;","&amp;ROUND(CQ16,4)&amp;","&amp;ROUND(CR16,4)&amp;","&amp;ROUND(CS16,4)&amp;","&amp;ROUND(CT16,4)&amp;","&amp;ROUND(CU16,4)&amp;","&amp;ROUND(CV16,4)&amp;","&amp;ROUND(CW16,4)&amp;","&amp;ROUND(CX16,4)&amp;","&amp;ROUND(CY16,4)&amp;"],"</f>
        <v>['ulp',0.7027,0.6304,0.61,0.59,0.57,0.55,0.53,0.5096,0.4889,0.4698,0.4566,0.4472,0.4394,0.42,0.399,0.38,0.3676,0.3361,0.3065,0.3033,0.2917,0.28,0.27,0.26],</v>
      </c>
      <c r="DF62" t="str">
        <f t="shared" ref="DF62:DF69" si="69">"['"&amp;BZ16&amp;"',"&amp;ROUND(DF16,4)&amp;","&amp;ROUND(DG16,4)&amp;","&amp;ROUND(DH16,4)&amp;","&amp;ROUND(DI16,4)&amp;","&amp;ROUND(DJ16,4)&amp;","&amp;ROUND(DK16,4)&amp;","&amp;ROUND(DL16,4)&amp;","&amp;ROUND(DM16,4)&amp;","&amp;ROUND(DN16,4)&amp;","&amp;ROUND(DO16,4)&amp;","&amp;ROUND(DP16,4)&amp;","&amp;ROUND(DQ16,4)&amp;","&amp;ROUND(DR16,4)&amp;","&amp;ROUND(DS16,4)&amp;","&amp;ROUND(DT16,4)&amp;","&amp;ROUND(DU16,4)&amp;","&amp;ROUND(DV16,4)&amp;","&amp;ROUND(DW16,4)&amp;","&amp;ROUND(DX16,4)&amp;","&amp;ROUND(DY16,4)&amp;","&amp;ROUND(DZ16,4)&amp;","&amp;ROUND(EA16,4)&amp;","&amp;ROUND(EB16,4)&amp;","&amp;ROUND(EC16,4)&amp;"],"</f>
        <v>['ulp',0.7211,0.647,0.626,0.6055,0.585,0.5644,0.5439,0.523,0.5017,0.4821,0.4686,0.4589,0.4509,0.431,0.4095,0.39,0.3772,0.345,0.3145,0.3113,0.2993,0.2873,0.2771,0.2668],</v>
      </c>
    </row>
    <row r="63" spans="1:110">
      <c r="BY63" t="s">
        <v>379</v>
      </c>
      <c r="BZ63">
        <v>4</v>
      </c>
      <c r="CA63" s="26" t="str">
        <f t="shared" si="67"/>
        <v>'um':4,</v>
      </c>
      <c r="CB63" t="str">
        <f t="shared" si="68"/>
        <v>['um',0.3609,0.3492,0.3379,0.3237,0.3074,0.2939,0.2798,0.2639,0.2513,0.2357,0.2256,0.216,0.2092,0.2012,0.1962,0.1904,0.1842,0.1781,0.1725,0.1674,0.1611,0.1547,0.148,0.1399],</v>
      </c>
      <c r="DF63" t="str">
        <f t="shared" si="69"/>
        <v>['um',0.343,0.3327,0.3225,0.3121,0.2969,0.2859,0.2742,0.2577,0.2451,0.2296,0.2192,0.2093,0.2026,0.1944,0.1896,0.1834,0.1765,0.1707,0.1651,0.1598,0.153,0.1464,0.1398,0.1413],</v>
      </c>
    </row>
    <row r="64" spans="1:110">
      <c r="BY64" t="s">
        <v>380</v>
      </c>
      <c r="BZ64">
        <v>5</v>
      </c>
      <c r="CA64" s="26" t="str">
        <f t="shared" si="67"/>
        <v>'uog':5,</v>
      </c>
      <c r="CB64" t="str">
        <f t="shared" si="68"/>
        <v>['uog',0.4028,0.3897,0.3771,0.3613,0.343,0.328,0.3123,0.2945,0.2804,0.263,0.2518,0.241,0.2335,0.2245,0.219,0.2125,0.2055,0.1987,0.1925,0.1868,0.1798,0.1726,0.1652,0.1561],</v>
      </c>
      <c r="DF64" t="str">
        <f t="shared" si="69"/>
        <v>['uog',0.3453,0.335,0.3247,0.3142,0.2989,0.2878,0.2761,0.2595,0.2468,0.2312,0.2207,0.2107,0.204,0.1958,0.1909,0.1846,0.1777,0.1719,0.1663,0.1609,0.1541,0.1474,0.1407,0.1422],</v>
      </c>
    </row>
    <row r="65" spans="77:110">
      <c r="BY65" t="s">
        <v>381</v>
      </c>
      <c r="BZ65">
        <v>6</v>
      </c>
      <c r="CA65" s="26" t="str">
        <f t="shared" si="67"/>
        <v>'uso':6,</v>
      </c>
      <c r="CB65" t="str">
        <f t="shared" si="68"/>
        <v>['uso',0.98,0.96,0.945,0.8804,0.8633,0.8238,0.7854,0.7217,0.7011,0.6535,0.6366,0.6173,0.5869,0.5667,0.552,0.537,0.521,0.5025,0.48,0.4595,0.44,0.42,0.4,0.38],</v>
      </c>
      <c r="DF65" t="str">
        <f t="shared" si="69"/>
        <v>['uso',0.98,0.98,0.98,0.98,0.98,0.98,0.98,0.9008,0.875,0.8156,0.7946,0.7704,0.7325,0.7073,0.689,0.6702,0.6503,0.6271,0.5991,0.5735,0.5492,0.5242,0.4993,0.4743],</v>
      </c>
    </row>
    <row r="66" spans="77:110">
      <c r="BY66" t="s">
        <v>381</v>
      </c>
      <c r="BZ66">
        <v>7</v>
      </c>
      <c r="CA66" s="26" t="str">
        <f t="shared" si="67"/>
        <v>'uso':7,</v>
      </c>
      <c r="CB66" t="str">
        <f t="shared" si="68"/>
        <v>['us',0.62,0.6,0.5755,0.5519,0.4934,0.48,0.47,0.4624,0.4509,0.4264,0.4056,0.4006,0.3956,0.3906,0.3856,0.3806,0.3756,0.3706,0.3656,0.3571,0.34,0.33,0.32,0.31],</v>
      </c>
      <c r="DF66" t="str">
        <f t="shared" si="69"/>
        <v>['us',0.6316,0.6112,0.5862,0.5622,0.5027,0.489,0.4788,0.471,0.4593,0.4344,0.4132,0.4081,0.403,0.3979,0.3928,0.3877,0.3826,0.3775,0.3724,0.3638,0.3463,0.3362,0.326,0.3158],</v>
      </c>
    </row>
    <row r="67" spans="77:110">
      <c r="BY67" t="s">
        <v>382</v>
      </c>
      <c r="BZ67">
        <v>8</v>
      </c>
      <c r="CA67" s="26" t="str">
        <f t="shared" si="67"/>
        <v>'wa':8,</v>
      </c>
      <c r="CB67" t="str">
        <f t="shared" si="68"/>
        <v>['wa',0.7652,0.7507,0.7215,0.6879,0.6355,0.6028,0.5734,0.5492,0.501,0.4664,0.4426,0.4145,0.405,0.3782,0.369,0.3596,0.3492,0.34,0.33,0.32,0.3,0.2761,0.2581,0.2167],</v>
      </c>
      <c r="DF67" t="str">
        <f t="shared" si="69"/>
        <v>['wa',0.7917,0.7766,0.7465,0.7116,0.6575,0.6236,0.5932,0.5681,0.5184,0.4825,0.4579,0.4288,0.419,0.3913,0.3818,0.3721,0.3613,0.3517,0.3414,0.3311,0.3104,0.2856,0.2671,0.2242],</v>
      </c>
    </row>
    <row r="68" spans="77:110">
      <c r="BY68" t="s">
        <v>383</v>
      </c>
      <c r="BZ68">
        <v>9</v>
      </c>
      <c r="CA68" s="26" t="str">
        <f t="shared" si="67"/>
        <v>'wh':9,</v>
      </c>
      <c r="CB68" t="str">
        <f t="shared" si="68"/>
        <v>['wh',0.9026,0.8865,0.8575,0.8251,0.7756,0.7421,0.7113,0.687,0.6432,0.609,0.5839,0.5599,0.5506,0.525,0.516,0.51,0.5027,0.49,0.48,0.47,0.46,0.4399,0.4158,0.3784],</v>
      </c>
      <c r="DF68" t="str">
        <f t="shared" si="69"/>
        <v>['wh',0.7917,0.7766,0.7465,0.7116,0.6575,0.6236,0.5932,0.5681,0.5184,0.4825,0.4579,0.4288,0.419,0.3913,0.3818,0.3721,0.3613,0.3517,0.3414,0.3311,0.3104,0.2856,0.2671,0.2242],</v>
      </c>
    </row>
    <row r="69" spans="77:110">
      <c r="BY69" t="s">
        <v>384</v>
      </c>
      <c r="BZ69">
        <v>10</v>
      </c>
      <c r="CA69" s="26" t="str">
        <f t="shared" si="67"/>
        <v>'zz':10,</v>
      </c>
      <c r="CB69" t="str">
        <f t="shared" si="68"/>
        <v>['zz',0.5859,0.5645,0.4991,0.4767,0.4489,0.4122,0.3863,0.3594,0.3354,0.3038,0.2815,0.2666,0.2499,0.2426,0.2376,0.2221,0.2046,0.1962,0.1893,0.172,0.1746,0.1512,0.1653,0.1325],</v>
      </c>
      <c r="DF69" t="str">
        <f t="shared" si="69"/>
        <v>['zz',0.7599,0.7401,0.7063,0.6726,0.6366,0.6094,0.5651,0.5203,0.4791,0.4334,0.4084,0.3871,0.3585,0.3512,0.3356,0.3136,0.292,0.2718,0.2666,0.2497,0.2361,0.2264,0.2167,0.2073],</v>
      </c>
    </row>
    <row r="70" spans="77:110">
      <c r="CB70" t="str">
        <f t="shared" si="68"/>
        <v>['',0,0,0,0,0,0,0,0,0,0,0,0,0,0,0,0,0,0,0,0,0,0,0,0],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88C6-6699-442E-8D9B-84E60536452B}">
  <dimension ref="A1:P480"/>
  <sheetViews>
    <sheetView workbookViewId="0"/>
  </sheetViews>
  <sheetFormatPr defaultRowHeight="15"/>
  <cols>
    <col min="14" max="14" width="12" bestFit="1" customWidth="1"/>
  </cols>
  <sheetData>
    <row r="1" spans="1:16">
      <c r="A1" t="s">
        <v>392</v>
      </c>
      <c r="B1" t="s">
        <v>393</v>
      </c>
      <c r="D1" t="s">
        <v>390</v>
      </c>
      <c r="E1" t="s">
        <v>391</v>
      </c>
      <c r="G1" t="s">
        <v>394</v>
      </c>
      <c r="H1" t="s">
        <v>395</v>
      </c>
      <c r="J1" t="s">
        <v>396</v>
      </c>
      <c r="K1" t="s">
        <v>397</v>
      </c>
    </row>
    <row r="2" spans="1:16">
      <c r="A2">
        <v>9001</v>
      </c>
      <c r="B2" s="248">
        <v>0.30880000000000002</v>
      </c>
      <c r="D2">
        <v>9001</v>
      </c>
      <c r="E2" s="249">
        <v>0.41489999999999999</v>
      </c>
      <c r="G2">
        <v>9001</v>
      </c>
      <c r="H2">
        <v>0.1056</v>
      </c>
      <c r="J2">
        <v>8001</v>
      </c>
      <c r="K2">
        <v>0.64329334413401806</v>
      </c>
      <c r="M2" t="s">
        <v>419</v>
      </c>
      <c r="N2">
        <v>0.3</v>
      </c>
      <c r="O2">
        <v>0.4</v>
      </c>
      <c r="P2" t="s">
        <v>398</v>
      </c>
    </row>
    <row r="3" spans="1:16">
      <c r="A3">
        <v>9002</v>
      </c>
      <c r="B3" s="248">
        <v>0.32119999999999999</v>
      </c>
      <c r="D3">
        <v>9002</v>
      </c>
      <c r="E3" s="249">
        <v>0.4294</v>
      </c>
      <c r="G3">
        <v>9002</v>
      </c>
      <c r="H3">
        <v>0.1162</v>
      </c>
      <c r="J3">
        <v>8002</v>
      </c>
      <c r="K3">
        <v>0.6625921444580386</v>
      </c>
      <c r="M3" t="s">
        <v>417</v>
      </c>
      <c r="N3">
        <v>0.25</v>
      </c>
      <c r="O3">
        <v>0.5</v>
      </c>
      <c r="P3" t="s">
        <v>399</v>
      </c>
    </row>
    <row r="4" spans="1:16">
      <c r="A4">
        <v>9003</v>
      </c>
      <c r="B4" s="248">
        <v>0.33400000000000002</v>
      </c>
      <c r="D4">
        <v>9003</v>
      </c>
      <c r="E4" s="249">
        <v>0.44440000000000002</v>
      </c>
      <c r="G4">
        <v>9003</v>
      </c>
      <c r="H4">
        <v>0.1278</v>
      </c>
      <c r="J4">
        <v>8003</v>
      </c>
      <c r="K4">
        <v>0.68246990879177982</v>
      </c>
      <c r="M4" t="s">
        <v>418</v>
      </c>
      <c r="N4">
        <v>0.35293999999999998</v>
      </c>
      <c r="O4">
        <v>0.29411999999999999</v>
      </c>
      <c r="P4" t="s">
        <v>400</v>
      </c>
    </row>
    <row r="5" spans="1:16">
      <c r="A5">
        <v>9004</v>
      </c>
      <c r="B5" s="248">
        <v>0.34739999999999999</v>
      </c>
      <c r="D5">
        <v>9004</v>
      </c>
      <c r="E5" s="249">
        <v>0.46</v>
      </c>
      <c r="G5">
        <v>9004</v>
      </c>
      <c r="H5">
        <v>0.1406</v>
      </c>
      <c r="J5">
        <v>8004</v>
      </c>
      <c r="K5">
        <v>0.7029440060555332</v>
      </c>
      <c r="P5" t="s">
        <v>401</v>
      </c>
    </row>
    <row r="6" spans="1:16">
      <c r="A6">
        <v>9005</v>
      </c>
      <c r="B6" s="248">
        <v>0.36130000000000001</v>
      </c>
      <c r="D6">
        <v>9005</v>
      </c>
      <c r="E6" s="249">
        <v>0.47610000000000002</v>
      </c>
      <c r="G6">
        <v>9005</v>
      </c>
      <c r="H6">
        <v>0.1547</v>
      </c>
      <c r="J6">
        <v>8005</v>
      </c>
      <c r="K6">
        <v>0.72403232623719926</v>
      </c>
      <c r="P6" t="s">
        <v>402</v>
      </c>
    </row>
    <row r="7" spans="1:16">
      <c r="A7">
        <v>9006</v>
      </c>
      <c r="B7" s="248">
        <v>0.37569999999999998</v>
      </c>
      <c r="D7">
        <v>9006</v>
      </c>
      <c r="E7" s="249">
        <v>0.49280000000000002</v>
      </c>
      <c r="G7">
        <v>9006</v>
      </c>
      <c r="H7">
        <v>0.17019999999999999</v>
      </c>
      <c r="J7">
        <v>8006</v>
      </c>
      <c r="K7">
        <v>0.74575329602431528</v>
      </c>
      <c r="P7" t="s">
        <v>403</v>
      </c>
    </row>
    <row r="8" spans="1:16">
      <c r="A8">
        <v>9007</v>
      </c>
      <c r="B8" s="248">
        <v>0.39069999999999999</v>
      </c>
      <c r="D8">
        <v>9007</v>
      </c>
      <c r="E8" s="249">
        <v>0.51</v>
      </c>
      <c r="G8">
        <v>9007</v>
      </c>
      <c r="H8">
        <v>0.18720000000000001</v>
      </c>
      <c r="J8">
        <v>8007</v>
      </c>
      <c r="K8">
        <v>0.76812589490504479</v>
      </c>
      <c r="P8" t="s">
        <v>404</v>
      </c>
    </row>
    <row r="9" spans="1:16">
      <c r="A9">
        <v>9008</v>
      </c>
      <c r="B9" s="248">
        <v>0.40629999999999999</v>
      </c>
      <c r="D9">
        <v>9008</v>
      </c>
      <c r="E9" s="249">
        <v>0.52790000000000004</v>
      </c>
      <c r="G9">
        <v>9008</v>
      </c>
      <c r="H9">
        <v>0.2059</v>
      </c>
      <c r="J9">
        <v>8008</v>
      </c>
      <c r="K9">
        <v>0.7911696717521961</v>
      </c>
      <c r="M9">
        <v>0</v>
      </c>
      <c r="N9">
        <v>1</v>
      </c>
      <c r="P9" t="s">
        <v>405</v>
      </c>
    </row>
    <row r="10" spans="1:16">
      <c r="A10">
        <v>9009</v>
      </c>
      <c r="B10" s="248">
        <v>0.42249999999999999</v>
      </c>
      <c r="D10">
        <v>9009</v>
      </c>
      <c r="E10" s="249">
        <v>0.5464</v>
      </c>
      <c r="G10">
        <v>9009</v>
      </c>
      <c r="H10">
        <v>0.22650000000000001</v>
      </c>
      <c r="J10">
        <v>8009</v>
      </c>
      <c r="K10">
        <v>0.81490476190476202</v>
      </c>
      <c r="M10">
        <v>1</v>
      </c>
      <c r="N10">
        <v>1.1000000000000001</v>
      </c>
      <c r="P10" t="s">
        <v>406</v>
      </c>
    </row>
    <row r="11" spans="1:16">
      <c r="A11">
        <v>9010</v>
      </c>
      <c r="B11" s="248">
        <v>0.43940000000000001</v>
      </c>
      <c r="D11">
        <v>9010</v>
      </c>
      <c r="E11" s="249">
        <v>0.5655</v>
      </c>
      <c r="G11">
        <v>9010</v>
      </c>
      <c r="H11">
        <v>0.2492</v>
      </c>
      <c r="J11">
        <v>8010</v>
      </c>
      <c r="K11">
        <v>0.83853700000000009</v>
      </c>
      <c r="M11">
        <v>2</v>
      </c>
      <c r="N11">
        <v>1.1499999999999999</v>
      </c>
      <c r="P11" t="s">
        <v>407</v>
      </c>
    </row>
    <row r="12" spans="1:16">
      <c r="A12">
        <v>9011</v>
      </c>
      <c r="B12" s="248">
        <v>0.45479999999999998</v>
      </c>
      <c r="D12">
        <v>9011</v>
      </c>
      <c r="E12" s="249">
        <v>0.58250000000000002</v>
      </c>
      <c r="G12">
        <v>9011</v>
      </c>
      <c r="H12">
        <v>0.27410000000000001</v>
      </c>
      <c r="J12">
        <v>8011</v>
      </c>
      <c r="K12">
        <v>0.86161600000000005</v>
      </c>
      <c r="P12" t="s">
        <v>408</v>
      </c>
    </row>
    <row r="13" spans="1:16">
      <c r="A13">
        <v>9012</v>
      </c>
      <c r="B13" s="248">
        <v>0.47070000000000001</v>
      </c>
      <c r="D13">
        <v>9012</v>
      </c>
      <c r="E13" s="249">
        <v>0.6</v>
      </c>
      <c r="G13">
        <v>9012</v>
      </c>
      <c r="H13">
        <v>0.30149999999999999</v>
      </c>
      <c r="J13">
        <v>8012</v>
      </c>
      <c r="K13">
        <v>0.8846949999999999</v>
      </c>
      <c r="P13" t="s">
        <v>409</v>
      </c>
    </row>
    <row r="14" spans="1:16">
      <c r="A14">
        <v>9013</v>
      </c>
      <c r="B14" s="248">
        <v>0.48720000000000002</v>
      </c>
      <c r="D14">
        <v>9013</v>
      </c>
      <c r="E14" s="249">
        <v>0.61799999999999999</v>
      </c>
      <c r="G14">
        <v>9013</v>
      </c>
      <c r="H14">
        <v>0.33160000000000001</v>
      </c>
      <c r="J14">
        <v>8013</v>
      </c>
      <c r="K14">
        <v>0.90777399999999997</v>
      </c>
      <c r="M14" t="s">
        <v>422</v>
      </c>
      <c r="N14">
        <v>0.9</v>
      </c>
      <c r="P14" t="s">
        <v>410</v>
      </c>
    </row>
    <row r="15" spans="1:16">
      <c r="A15">
        <v>9014</v>
      </c>
      <c r="B15" s="248">
        <v>0.50429999999999997</v>
      </c>
      <c r="D15">
        <v>9014</v>
      </c>
      <c r="E15" s="249">
        <v>0.63649999999999995</v>
      </c>
      <c r="G15">
        <v>9014</v>
      </c>
      <c r="H15">
        <v>0.36480000000000001</v>
      </c>
      <c r="J15">
        <v>8014</v>
      </c>
      <c r="K15">
        <v>0.93085299999999993</v>
      </c>
      <c r="M15" t="s">
        <v>427</v>
      </c>
      <c r="N15" s="6">
        <f>10/9</f>
        <v>1.1111111111111112</v>
      </c>
    </row>
    <row r="16" spans="1:16">
      <c r="A16">
        <v>9015</v>
      </c>
      <c r="B16" s="248">
        <v>0.52190000000000003</v>
      </c>
      <c r="D16">
        <v>9015</v>
      </c>
      <c r="E16" s="249">
        <v>0.65559999999999996</v>
      </c>
      <c r="G16">
        <v>9015</v>
      </c>
      <c r="H16">
        <v>0.40129999999999999</v>
      </c>
      <c r="J16">
        <v>8015</v>
      </c>
      <c r="K16">
        <v>0.953932</v>
      </c>
      <c r="M16" t="s">
        <v>428</v>
      </c>
      <c r="N16">
        <v>0.9</v>
      </c>
      <c r="P16" t="s">
        <v>411</v>
      </c>
    </row>
    <row r="17" spans="1:16">
      <c r="A17">
        <v>9016</v>
      </c>
      <c r="B17" s="248">
        <v>0.54020000000000001</v>
      </c>
      <c r="D17">
        <v>9016</v>
      </c>
      <c r="E17" s="249">
        <v>0.67530000000000001</v>
      </c>
      <c r="G17">
        <v>9016</v>
      </c>
      <c r="H17">
        <v>0.44140000000000001</v>
      </c>
      <c r="J17">
        <v>8016</v>
      </c>
      <c r="K17">
        <v>0.97701099999999996</v>
      </c>
      <c r="M17" t="s">
        <v>429</v>
      </c>
      <c r="N17">
        <v>1</v>
      </c>
      <c r="P17" t="s">
        <v>412</v>
      </c>
    </row>
    <row r="18" spans="1:16">
      <c r="A18">
        <v>9017</v>
      </c>
      <c r="B18" s="248">
        <v>0.55910000000000004</v>
      </c>
      <c r="D18">
        <v>9017</v>
      </c>
      <c r="E18" s="249">
        <v>0.6956</v>
      </c>
      <c r="G18">
        <v>9017</v>
      </c>
      <c r="H18">
        <v>0.48549999999999999</v>
      </c>
      <c r="J18">
        <v>8017</v>
      </c>
      <c r="K18">
        <v>1.0000899999999999</v>
      </c>
      <c r="M18" t="s">
        <v>430</v>
      </c>
      <c r="N18">
        <v>1</v>
      </c>
      <c r="P18" t="s">
        <v>413</v>
      </c>
    </row>
    <row r="19" spans="1:16">
      <c r="A19">
        <v>9018</v>
      </c>
      <c r="B19" s="248">
        <v>0.57869999999999999</v>
      </c>
      <c r="D19">
        <v>9018</v>
      </c>
      <c r="E19" s="249">
        <v>0.71650000000000003</v>
      </c>
      <c r="G19">
        <v>9018</v>
      </c>
      <c r="H19">
        <v>0.53410000000000002</v>
      </c>
      <c r="J19">
        <v>8018</v>
      </c>
      <c r="K19">
        <v>1.023169</v>
      </c>
      <c r="P19" t="s">
        <v>414</v>
      </c>
    </row>
    <row r="20" spans="1:16">
      <c r="A20">
        <v>9019</v>
      </c>
      <c r="B20" s="248">
        <v>0.59899999999999998</v>
      </c>
      <c r="D20">
        <v>9019</v>
      </c>
      <c r="E20" s="249">
        <v>0.73799999999999999</v>
      </c>
      <c r="G20">
        <v>9019</v>
      </c>
      <c r="H20">
        <v>0.58750000000000002</v>
      </c>
      <c r="J20">
        <v>8019</v>
      </c>
      <c r="K20">
        <v>1.0462479999999998</v>
      </c>
      <c r="M20" t="s">
        <v>426</v>
      </c>
      <c r="N20">
        <v>1</v>
      </c>
      <c r="P20" t="s">
        <v>415</v>
      </c>
    </row>
    <row r="21" spans="1:16">
      <c r="A21">
        <v>9020</v>
      </c>
      <c r="B21" s="250">
        <v>0.62</v>
      </c>
      <c r="D21">
        <v>9020</v>
      </c>
      <c r="E21" s="249">
        <v>0.7601</v>
      </c>
      <c r="G21">
        <v>9020</v>
      </c>
      <c r="H21">
        <v>0.64629999999999999</v>
      </c>
      <c r="J21">
        <v>8020</v>
      </c>
      <c r="K21">
        <v>1.0693270000000001</v>
      </c>
      <c r="M21" t="s">
        <v>436</v>
      </c>
      <c r="N21">
        <v>1.1499999999999999</v>
      </c>
      <c r="P21" t="s">
        <v>416</v>
      </c>
    </row>
    <row r="22" spans="1:16">
      <c r="A22">
        <v>9021</v>
      </c>
      <c r="B22" s="250">
        <v>0.64</v>
      </c>
      <c r="D22">
        <v>9021</v>
      </c>
      <c r="E22" s="249">
        <v>0.78290903529318989</v>
      </c>
      <c r="G22">
        <v>9021</v>
      </c>
      <c r="H22">
        <v>0.70609999999999995</v>
      </c>
      <c r="J22">
        <v>8021</v>
      </c>
      <c r="K22">
        <v>1.092406</v>
      </c>
    </row>
    <row r="23" spans="1:16">
      <c r="A23">
        <v>9022</v>
      </c>
      <c r="B23" s="250">
        <v>0.66</v>
      </c>
      <c r="D23">
        <v>9022</v>
      </c>
      <c r="E23" s="249">
        <v>0.80248176117551961</v>
      </c>
      <c r="G23">
        <v>9022</v>
      </c>
      <c r="H23">
        <v>0.76619999999999999</v>
      </c>
      <c r="J23">
        <v>8022</v>
      </c>
      <c r="K23">
        <v>1.1154849999999998</v>
      </c>
      <c r="P23" t="s">
        <v>431</v>
      </c>
    </row>
    <row r="24" spans="1:16">
      <c r="A24">
        <v>9023</v>
      </c>
      <c r="B24" s="250">
        <v>0.68</v>
      </c>
      <c r="D24">
        <v>9023</v>
      </c>
      <c r="E24" s="249">
        <v>0.82254380520490755</v>
      </c>
      <c r="G24">
        <v>9023</v>
      </c>
      <c r="H24">
        <v>0.82550000000000001</v>
      </c>
      <c r="J24">
        <v>8023</v>
      </c>
      <c r="K24">
        <v>1.1385639999999999</v>
      </c>
    </row>
    <row r="25" spans="1:16">
      <c r="A25">
        <v>9024</v>
      </c>
      <c r="B25" s="250">
        <v>0.7</v>
      </c>
      <c r="D25">
        <v>9024</v>
      </c>
      <c r="E25" s="249">
        <v>0.84310740033503018</v>
      </c>
      <c r="G25">
        <v>9024</v>
      </c>
      <c r="H25">
        <v>0.88329999999999997</v>
      </c>
      <c r="J25">
        <v>8024</v>
      </c>
      <c r="K25">
        <v>1.161643</v>
      </c>
    </row>
    <row r="26" spans="1:16">
      <c r="A26">
        <v>9025</v>
      </c>
      <c r="B26" s="250">
        <v>0.72</v>
      </c>
      <c r="D26">
        <v>9025</v>
      </c>
      <c r="E26" s="249">
        <v>0.86207731684256828</v>
      </c>
      <c r="G26">
        <v>9025</v>
      </c>
      <c r="H26">
        <v>0.94340000000000002</v>
      </c>
      <c r="J26">
        <v>8025</v>
      </c>
      <c r="K26">
        <v>1.1847220000000001</v>
      </c>
    </row>
    <row r="27" spans="1:16">
      <c r="A27">
        <v>9026</v>
      </c>
      <c r="B27" s="250">
        <v>0.74</v>
      </c>
      <c r="D27">
        <v>9026</v>
      </c>
      <c r="E27" s="249">
        <v>0.88147405647152599</v>
      </c>
      <c r="G27">
        <v>9026</v>
      </c>
      <c r="H27">
        <v>1</v>
      </c>
      <c r="J27">
        <v>8026</v>
      </c>
      <c r="K27">
        <v>1.2078009999999999</v>
      </c>
    </row>
    <row r="28" spans="1:16">
      <c r="A28">
        <v>9027</v>
      </c>
      <c r="B28" s="250">
        <v>0.76</v>
      </c>
      <c r="D28">
        <v>9027</v>
      </c>
      <c r="E28" s="249">
        <v>0.90130722274213526</v>
      </c>
      <c r="G28">
        <v>9027</v>
      </c>
      <c r="H28">
        <v>1.0569999999999999</v>
      </c>
      <c r="J28">
        <v>8027</v>
      </c>
      <c r="K28">
        <v>1.23088</v>
      </c>
    </row>
    <row r="29" spans="1:16">
      <c r="A29">
        <v>9028</v>
      </c>
      <c r="B29" s="250">
        <v>0.78</v>
      </c>
      <c r="D29">
        <v>9028</v>
      </c>
      <c r="E29" s="249">
        <v>0.92158663525383322</v>
      </c>
      <c r="G29">
        <v>9028</v>
      </c>
      <c r="H29">
        <v>1.1120000000000001</v>
      </c>
      <c r="J29">
        <v>8028</v>
      </c>
      <c r="K29">
        <v>1.2539589999999998</v>
      </c>
    </row>
    <row r="30" spans="1:16">
      <c r="A30">
        <v>9029</v>
      </c>
      <c r="B30" s="250">
        <v>0.8</v>
      </c>
      <c r="D30">
        <v>9029</v>
      </c>
      <c r="E30" s="249">
        <v>0.94232233454704439</v>
      </c>
      <c r="G30">
        <v>9029</v>
      </c>
      <c r="H30">
        <v>1.1641999999999999</v>
      </c>
      <c r="J30">
        <v>8029</v>
      </c>
      <c r="K30">
        <v>1.2770379999999999</v>
      </c>
    </row>
    <row r="31" spans="1:16">
      <c r="A31">
        <v>9030</v>
      </c>
      <c r="B31" s="250">
        <v>0.82</v>
      </c>
      <c r="D31">
        <v>9030</v>
      </c>
      <c r="E31" s="249">
        <v>0.96116878123798533</v>
      </c>
      <c r="G31">
        <v>9030</v>
      </c>
      <c r="H31">
        <v>1.2131000000000001</v>
      </c>
      <c r="J31">
        <v>8030</v>
      </c>
      <c r="K31">
        <v>1.300117</v>
      </c>
    </row>
    <row r="32" spans="1:16">
      <c r="A32">
        <v>9031</v>
      </c>
      <c r="B32" s="250">
        <v>0.84</v>
      </c>
      <c r="D32">
        <v>9031</v>
      </c>
      <c r="E32" s="249">
        <v>0.98039215686274506</v>
      </c>
      <c r="G32">
        <v>9031</v>
      </c>
      <c r="H32">
        <v>1.258</v>
      </c>
    </row>
    <row r="33" spans="1:8">
      <c r="A33">
        <v>9032</v>
      </c>
      <c r="B33" s="250">
        <v>0.86</v>
      </c>
      <c r="D33">
        <v>9032</v>
      </c>
      <c r="E33" s="249">
        <v>1</v>
      </c>
      <c r="G33">
        <v>9032</v>
      </c>
      <c r="H33">
        <v>1.2983</v>
      </c>
    </row>
    <row r="34" spans="1:8">
      <c r="A34">
        <v>9033</v>
      </c>
      <c r="B34" s="250">
        <v>0.88</v>
      </c>
      <c r="D34">
        <v>9033</v>
      </c>
      <c r="E34" s="249">
        <v>1.02</v>
      </c>
      <c r="G34">
        <v>9033</v>
      </c>
      <c r="H34">
        <v>1.3385</v>
      </c>
    </row>
    <row r="35" spans="1:8">
      <c r="A35">
        <v>9034</v>
      </c>
      <c r="B35" s="250">
        <v>0.9</v>
      </c>
      <c r="D35">
        <v>9034</v>
      </c>
      <c r="E35" s="249">
        <v>1.0404</v>
      </c>
      <c r="G35">
        <v>9034</v>
      </c>
      <c r="H35">
        <v>1.3787</v>
      </c>
    </row>
    <row r="36" spans="1:8">
      <c r="A36">
        <v>9035</v>
      </c>
      <c r="B36" s="250">
        <v>0.92</v>
      </c>
      <c r="D36">
        <v>9035</v>
      </c>
      <c r="E36" s="249">
        <v>1.056006</v>
      </c>
      <c r="G36">
        <v>9035</v>
      </c>
      <c r="H36">
        <v>1.4186000000000001</v>
      </c>
    </row>
    <row r="37" spans="1:8">
      <c r="A37">
        <v>9036</v>
      </c>
      <c r="B37" s="250">
        <v>0.94</v>
      </c>
      <c r="D37">
        <v>9036</v>
      </c>
      <c r="E37" s="249">
        <v>1.07184609</v>
      </c>
      <c r="G37">
        <v>9036</v>
      </c>
      <c r="H37">
        <v>1.4583999999999999</v>
      </c>
    </row>
    <row r="38" spans="1:8">
      <c r="A38">
        <v>9037</v>
      </c>
      <c r="B38" s="250">
        <v>0.96</v>
      </c>
      <c r="D38">
        <v>9037</v>
      </c>
      <c r="E38" s="249">
        <v>1.0879237813499998</v>
      </c>
      <c r="G38">
        <v>9037</v>
      </c>
      <c r="H38">
        <v>1.4977</v>
      </c>
    </row>
    <row r="39" spans="1:8">
      <c r="A39">
        <v>9038</v>
      </c>
      <c r="B39" s="250">
        <v>0.98</v>
      </c>
      <c r="D39">
        <v>9038</v>
      </c>
      <c r="E39" s="249">
        <v>1.1042426380702497</v>
      </c>
      <c r="G39">
        <v>9038</v>
      </c>
      <c r="H39">
        <v>1.5367</v>
      </c>
    </row>
    <row r="40" spans="1:8">
      <c r="A40">
        <v>9039</v>
      </c>
      <c r="B40" s="250">
        <v>1</v>
      </c>
      <c r="D40">
        <v>9039</v>
      </c>
      <c r="E40" s="249">
        <v>1.1208062776413033</v>
      </c>
      <c r="G40">
        <v>9039</v>
      </c>
      <c r="H40">
        <v>1.5750999999999999</v>
      </c>
    </row>
    <row r="41" spans="1:8">
      <c r="A41">
        <v>9040</v>
      </c>
      <c r="B41" s="250">
        <v>1.02</v>
      </c>
      <c r="D41">
        <v>9040</v>
      </c>
      <c r="E41" s="249">
        <v>1.1331351466953574</v>
      </c>
      <c r="G41">
        <v>9040</v>
      </c>
      <c r="H41">
        <v>1.6145</v>
      </c>
    </row>
    <row r="42" spans="1:8">
      <c r="A42">
        <v>9041</v>
      </c>
      <c r="B42" s="250">
        <v>1.04</v>
      </c>
      <c r="D42">
        <v>9041</v>
      </c>
      <c r="E42" s="249">
        <v>1.1455996333090062</v>
      </c>
      <c r="G42">
        <v>9041</v>
      </c>
      <c r="H42">
        <v>1.6548</v>
      </c>
    </row>
    <row r="43" spans="1:8">
      <c r="A43">
        <v>9042</v>
      </c>
      <c r="B43" s="250">
        <v>1.06</v>
      </c>
      <c r="D43">
        <v>9042</v>
      </c>
      <c r="E43" s="249">
        <v>1.1582012292754051</v>
      </c>
      <c r="G43">
        <v>9042</v>
      </c>
      <c r="H43">
        <v>1.6961999999999999</v>
      </c>
    </row>
    <row r="44" spans="1:8">
      <c r="A44">
        <v>9043</v>
      </c>
      <c r="B44" s="250">
        <v>1.08</v>
      </c>
      <c r="D44">
        <v>9043</v>
      </c>
      <c r="E44" s="249">
        <v>1.1709414427974345</v>
      </c>
      <c r="G44">
        <v>9043</v>
      </c>
      <c r="H44">
        <v>1.7385999999999999</v>
      </c>
    </row>
    <row r="45" spans="1:8">
      <c r="A45">
        <v>9044</v>
      </c>
      <c r="B45" s="250">
        <v>1.1000000000000001</v>
      </c>
      <c r="D45">
        <v>9044</v>
      </c>
      <c r="E45" s="249">
        <v>1.1838217986682062</v>
      </c>
      <c r="G45">
        <v>9044</v>
      </c>
      <c r="H45">
        <v>1.7821</v>
      </c>
    </row>
    <row r="46" spans="1:8">
      <c r="A46">
        <v>9045</v>
      </c>
      <c r="B46" s="250">
        <v>1.1200000000000001</v>
      </c>
      <c r="D46">
        <v>9045</v>
      </c>
      <c r="E46" s="249">
        <v>1.1968438384535565</v>
      </c>
      <c r="G46">
        <v>9045</v>
      </c>
      <c r="H46">
        <v>1.8266</v>
      </c>
    </row>
    <row r="47" spans="1:8">
      <c r="A47">
        <v>9046</v>
      </c>
      <c r="B47" s="250">
        <v>1.1399999999999999</v>
      </c>
      <c r="D47">
        <v>9046</v>
      </c>
      <c r="E47" s="249">
        <v>1.2100091206765455</v>
      </c>
      <c r="G47">
        <v>9046</v>
      </c>
      <c r="H47">
        <v>1.8723000000000001</v>
      </c>
    </row>
    <row r="48" spans="1:8">
      <c r="A48">
        <v>9047</v>
      </c>
      <c r="B48" s="250">
        <v>1.1599999999999999</v>
      </c>
      <c r="D48">
        <v>9047</v>
      </c>
      <c r="E48" s="249">
        <v>1.2233192210039874</v>
      </c>
      <c r="G48">
        <v>9047</v>
      </c>
      <c r="H48">
        <v>1.9191</v>
      </c>
    </row>
    <row r="49" spans="1:8">
      <c r="A49">
        <v>9048</v>
      </c>
      <c r="B49" s="250">
        <v>1.18</v>
      </c>
      <c r="D49">
        <v>9048</v>
      </c>
      <c r="E49" s="249">
        <v>1.236775732435031</v>
      </c>
      <c r="G49">
        <v>9048</v>
      </c>
      <c r="H49">
        <v>1.9622999999999999</v>
      </c>
    </row>
    <row r="50" spans="1:8">
      <c r="A50">
        <v>9049</v>
      </c>
      <c r="B50" s="250">
        <v>1.2</v>
      </c>
      <c r="D50">
        <v>9049</v>
      </c>
      <c r="E50" s="249">
        <v>1.2503802654918161</v>
      </c>
      <c r="G50">
        <v>9049</v>
      </c>
      <c r="H50">
        <v>2.0064000000000002</v>
      </c>
    </row>
    <row r="51" spans="1:8">
      <c r="A51">
        <v>9050</v>
      </c>
      <c r="B51" s="250">
        <v>1.212</v>
      </c>
      <c r="D51">
        <v>9050</v>
      </c>
      <c r="E51" s="249">
        <v>1.2641344484122259</v>
      </c>
      <c r="G51">
        <v>9050</v>
      </c>
      <c r="H51">
        <v>2.0466000000000002</v>
      </c>
    </row>
    <row r="52" spans="1:8">
      <c r="A52">
        <v>9051</v>
      </c>
      <c r="B52" s="250">
        <v>1.224</v>
      </c>
      <c r="D52">
        <v>9051</v>
      </c>
      <c r="E52" s="249">
        <v>1.2780399273447602</v>
      </c>
      <c r="G52">
        <v>9051</v>
      </c>
      <c r="H52">
        <v>2.0874999999999999</v>
      </c>
    </row>
    <row r="53" spans="1:8">
      <c r="A53">
        <v>9052</v>
      </c>
      <c r="B53" s="250">
        <v>1.236</v>
      </c>
      <c r="D53">
        <v>9052</v>
      </c>
      <c r="E53" s="249">
        <v>1.2920983665455525</v>
      </c>
      <c r="G53">
        <v>9052</v>
      </c>
      <c r="H53">
        <v>2.1293000000000002</v>
      </c>
    </row>
    <row r="54" spans="1:8">
      <c r="A54">
        <v>9053</v>
      </c>
      <c r="B54" s="250">
        <v>1.248</v>
      </c>
      <c r="D54">
        <v>9053</v>
      </c>
      <c r="E54" s="249">
        <v>1.3063114485775535</v>
      </c>
      <c r="G54">
        <v>9053</v>
      </c>
      <c r="H54">
        <v>2.1718000000000002</v>
      </c>
    </row>
    <row r="55" spans="1:8">
      <c r="A55">
        <v>9054</v>
      </c>
      <c r="B55" s="250">
        <v>1.26</v>
      </c>
      <c r="D55">
        <v>9054</v>
      </c>
      <c r="E55" s="249">
        <v>1.3206808745119065</v>
      </c>
      <c r="G55">
        <v>9054</v>
      </c>
      <c r="H55">
        <v>2.2153</v>
      </c>
    </row>
    <row r="56" spans="1:8">
      <c r="A56">
        <v>9055</v>
      </c>
      <c r="B56" s="250">
        <v>1.272</v>
      </c>
      <c r="D56">
        <v>9055</v>
      </c>
      <c r="E56" s="249">
        <v>1.3352083641315373</v>
      </c>
      <c r="G56">
        <v>9055</v>
      </c>
      <c r="H56">
        <v>2.2595999999999998</v>
      </c>
    </row>
    <row r="57" spans="1:8">
      <c r="A57">
        <v>9056</v>
      </c>
      <c r="B57" s="250">
        <v>1.284</v>
      </c>
      <c r="D57">
        <v>9056</v>
      </c>
      <c r="E57" s="249">
        <v>1.3498956561369841</v>
      </c>
      <c r="G57">
        <v>9056</v>
      </c>
      <c r="H57">
        <v>2.3048000000000002</v>
      </c>
    </row>
    <row r="58" spans="1:8">
      <c r="A58">
        <v>9057</v>
      </c>
      <c r="B58" s="250">
        <v>1.296</v>
      </c>
      <c r="D58">
        <v>9057</v>
      </c>
      <c r="E58" s="249">
        <v>1.3647445083544909</v>
      </c>
      <c r="G58">
        <v>9057</v>
      </c>
      <c r="H58">
        <v>2.3509000000000002</v>
      </c>
    </row>
    <row r="59" spans="1:8">
      <c r="A59">
        <v>9058</v>
      </c>
      <c r="B59" s="250">
        <v>1.3080000000000001</v>
      </c>
      <c r="D59">
        <v>9058</v>
      </c>
      <c r="E59" s="249">
        <v>1.3797566979463902</v>
      </c>
      <c r="G59">
        <v>9058</v>
      </c>
      <c r="H59">
        <v>2.3978999999999999</v>
      </c>
    </row>
    <row r="60" spans="1:8">
      <c r="A60">
        <v>9059</v>
      </c>
      <c r="B60" s="250">
        <v>1.32</v>
      </c>
      <c r="D60">
        <v>9059</v>
      </c>
      <c r="E60" s="249">
        <v>1.3949340216238004</v>
      </c>
      <c r="G60">
        <v>9059</v>
      </c>
      <c r="H60">
        <v>2.4458000000000002</v>
      </c>
    </row>
    <row r="61" spans="1:8">
      <c r="A61">
        <v>9060</v>
      </c>
      <c r="B61" s="250">
        <v>1.3320000000000001</v>
      </c>
      <c r="D61">
        <v>9060</v>
      </c>
      <c r="E61" s="249">
        <v>1.410278295861662</v>
      </c>
      <c r="G61">
        <v>9060</v>
      </c>
      <c r="H61">
        <v>2.4885999999999999</v>
      </c>
    </row>
    <row r="62" spans="1:8">
      <c r="A62">
        <v>9061</v>
      </c>
      <c r="B62" s="250">
        <v>1.3440000000000001</v>
      </c>
      <c r="D62">
        <v>9061</v>
      </c>
      <c r="E62" s="249">
        <v>1.42579135711614</v>
      </c>
      <c r="G62">
        <v>9061</v>
      </c>
      <c r="H62">
        <v>2.5322</v>
      </c>
    </row>
    <row r="63" spans="1:8">
      <c r="A63">
        <v>9062</v>
      </c>
      <c r="B63" s="250">
        <v>1.3560000000000001</v>
      </c>
      <c r="D63">
        <v>9062</v>
      </c>
      <c r="E63" s="249">
        <v>1.4414750620444174</v>
      </c>
      <c r="G63">
        <v>9062</v>
      </c>
      <c r="H63">
        <v>2.5764999999999998</v>
      </c>
    </row>
    <row r="64" spans="1:8">
      <c r="A64">
        <v>9063</v>
      </c>
      <c r="B64" s="250">
        <v>1.3680000000000001</v>
      </c>
      <c r="D64">
        <v>9063</v>
      </c>
      <c r="E64" s="249">
        <v>1.4573312877269058</v>
      </c>
      <c r="G64">
        <v>9063</v>
      </c>
      <c r="H64">
        <v>2.6215999999999999</v>
      </c>
    </row>
    <row r="65" spans="1:8">
      <c r="A65">
        <v>9064</v>
      </c>
      <c r="B65" s="250">
        <v>1.38</v>
      </c>
      <c r="D65">
        <v>9064</v>
      </c>
      <c r="E65" s="249">
        <v>1.4733619318919016</v>
      </c>
      <c r="G65">
        <v>9064</v>
      </c>
      <c r="H65">
        <v>2.6675</v>
      </c>
    </row>
    <row r="66" spans="1:8">
      <c r="A66">
        <v>9065</v>
      </c>
      <c r="B66" s="250">
        <v>1.3919999999999999</v>
      </c>
      <c r="D66">
        <v>9065</v>
      </c>
      <c r="E66" s="249">
        <v>1.4895689131427123</v>
      </c>
      <c r="G66">
        <v>9065</v>
      </c>
      <c r="H66">
        <v>2.7141999999999999</v>
      </c>
    </row>
    <row r="67" spans="1:8">
      <c r="A67">
        <v>9066</v>
      </c>
      <c r="B67" s="250">
        <v>1.4039999999999999</v>
      </c>
      <c r="D67">
        <v>9066</v>
      </c>
      <c r="E67" s="249">
        <v>1.5059541711872819</v>
      </c>
      <c r="G67">
        <v>9066</v>
      </c>
      <c r="H67">
        <v>2.7616999999999998</v>
      </c>
    </row>
    <row r="68" spans="1:8">
      <c r="A68">
        <v>9067</v>
      </c>
      <c r="B68" s="250">
        <v>1.4159999999999999</v>
      </c>
      <c r="D68">
        <v>9067</v>
      </c>
      <c r="E68" s="249">
        <v>1.5225196670703418</v>
      </c>
      <c r="G68">
        <v>9067</v>
      </c>
      <c r="H68">
        <v>2.81</v>
      </c>
    </row>
    <row r="69" spans="1:8">
      <c r="A69">
        <v>9068</v>
      </c>
      <c r="B69" s="250">
        <v>1.4279999999999999</v>
      </c>
      <c r="D69">
        <v>9068</v>
      </c>
      <c r="E69" s="249">
        <v>1.5392673834081154</v>
      </c>
      <c r="G69">
        <v>9068</v>
      </c>
      <c r="H69">
        <v>2.8592</v>
      </c>
    </row>
    <row r="70" spans="1:8">
      <c r="A70">
        <v>9069</v>
      </c>
      <c r="B70" s="250">
        <v>1.44</v>
      </c>
      <c r="D70">
        <v>9069</v>
      </c>
      <c r="E70" s="249">
        <v>1.5561993246256045</v>
      </c>
      <c r="G70">
        <v>9069</v>
      </c>
      <c r="H70">
        <v>2.9091999999999998</v>
      </c>
    </row>
    <row r="71" spans="1:8">
      <c r="A71">
        <v>9070</v>
      </c>
      <c r="B71" s="250">
        <v>1.452</v>
      </c>
      <c r="D71">
        <v>9070</v>
      </c>
      <c r="E71" s="249">
        <v>1.5717613178718606</v>
      </c>
      <c r="G71">
        <v>9070</v>
      </c>
      <c r="H71">
        <v>2.9527999999999999</v>
      </c>
    </row>
    <row r="72" spans="1:8">
      <c r="A72">
        <v>9071</v>
      </c>
      <c r="B72" s="250">
        <v>1.464</v>
      </c>
      <c r="D72">
        <v>9071</v>
      </c>
      <c r="E72" s="249">
        <v>1.5874789310505792</v>
      </c>
      <c r="G72">
        <v>9071</v>
      </c>
      <c r="H72">
        <v>2.9971000000000001</v>
      </c>
    </row>
    <row r="73" spans="1:8">
      <c r="A73">
        <v>9072</v>
      </c>
      <c r="B73" s="250">
        <v>1.476</v>
      </c>
      <c r="D73">
        <v>9072</v>
      </c>
      <c r="E73" s="249">
        <v>1.603353720361085</v>
      </c>
      <c r="G73">
        <v>9072</v>
      </c>
      <c r="H73">
        <v>3.0421</v>
      </c>
    </row>
    <row r="74" spans="1:8">
      <c r="A74">
        <v>9073</v>
      </c>
      <c r="B74" s="250">
        <v>1.488</v>
      </c>
      <c r="D74">
        <v>9073</v>
      </c>
      <c r="E74" s="249">
        <v>1.6193872575646959</v>
      </c>
      <c r="G74">
        <v>9073</v>
      </c>
      <c r="H74">
        <v>3.0876999999999999</v>
      </c>
    </row>
    <row r="75" spans="1:8">
      <c r="A75">
        <v>9074</v>
      </c>
      <c r="B75" s="250">
        <v>1.5</v>
      </c>
      <c r="D75">
        <v>9074</v>
      </c>
      <c r="E75" s="249">
        <v>1.6355811301403429</v>
      </c>
      <c r="G75">
        <v>9074</v>
      </c>
      <c r="H75">
        <v>3.1339999999999999</v>
      </c>
    </row>
    <row r="76" spans="1:8">
      <c r="A76">
        <v>9075</v>
      </c>
      <c r="B76" s="250">
        <v>1.512</v>
      </c>
      <c r="D76">
        <v>9075</v>
      </c>
      <c r="E76" s="249">
        <v>1.6519369414417464</v>
      </c>
      <c r="G76">
        <v>9075</v>
      </c>
      <c r="H76">
        <v>3.181</v>
      </c>
    </row>
    <row r="77" spans="1:8">
      <c r="A77">
        <v>9076</v>
      </c>
      <c r="B77" s="250">
        <v>1.524</v>
      </c>
      <c r="D77">
        <v>9076</v>
      </c>
      <c r="E77" s="249">
        <v>1.6684563108561639</v>
      </c>
      <c r="G77">
        <v>9076</v>
      </c>
      <c r="H77">
        <v>3.2288000000000001</v>
      </c>
    </row>
    <row r="78" spans="1:8">
      <c r="A78">
        <v>9077</v>
      </c>
      <c r="B78" s="250">
        <v>1.536</v>
      </c>
      <c r="D78" s="248">
        <v>9077</v>
      </c>
      <c r="E78" s="249">
        <v>1.6851408739647256</v>
      </c>
      <c r="G78">
        <v>9077</v>
      </c>
      <c r="H78">
        <v>3.2772000000000001</v>
      </c>
    </row>
    <row r="79" spans="1:8">
      <c r="A79">
        <v>9078</v>
      </c>
      <c r="B79" s="250">
        <v>1.548</v>
      </c>
      <c r="D79" s="248">
        <v>9078</v>
      </c>
      <c r="E79" s="249">
        <v>1.7019922827043727</v>
      </c>
      <c r="G79">
        <v>9078</v>
      </c>
      <c r="H79">
        <v>3.3262999999999998</v>
      </c>
    </row>
    <row r="80" spans="1:8">
      <c r="A80">
        <v>9079</v>
      </c>
      <c r="B80" s="250">
        <v>1.56</v>
      </c>
      <c r="D80" s="248">
        <v>9079</v>
      </c>
      <c r="E80" s="249">
        <v>1.7190122055314165</v>
      </c>
      <c r="G80">
        <v>9079</v>
      </c>
      <c r="H80">
        <v>3.3761999999999999</v>
      </c>
    </row>
    <row r="81" spans="1:8">
      <c r="A81" s="248">
        <v>9080</v>
      </c>
      <c r="B81" s="248">
        <v>1.5709</v>
      </c>
      <c r="D81" s="248">
        <v>9080</v>
      </c>
      <c r="E81" s="249">
        <v>1.7319047970729022</v>
      </c>
      <c r="G81">
        <v>9080</v>
      </c>
      <c r="H81">
        <v>3.4268000000000001</v>
      </c>
    </row>
    <row r="82" spans="1:8">
      <c r="A82" s="248">
        <v>9081</v>
      </c>
      <c r="B82" s="248">
        <v>1.5819000000000001</v>
      </c>
      <c r="D82" s="248">
        <v>9081</v>
      </c>
      <c r="E82" s="249">
        <v>1.7448940830509492</v>
      </c>
      <c r="G82">
        <v>9081</v>
      </c>
      <c r="H82">
        <v>3.4782000000000002</v>
      </c>
    </row>
    <row r="83" spans="1:8">
      <c r="A83" s="248">
        <v>9082</v>
      </c>
      <c r="B83" s="248">
        <v>1.593</v>
      </c>
      <c r="D83" s="248">
        <v>9082</v>
      </c>
      <c r="E83" s="249">
        <v>1.7579807886738315</v>
      </c>
      <c r="G83">
        <v>9082</v>
      </c>
      <c r="H83">
        <v>3.5304000000000002</v>
      </c>
    </row>
    <row r="84" spans="1:8">
      <c r="A84" s="248">
        <v>9083</v>
      </c>
      <c r="B84" s="248">
        <v>1.6042000000000001</v>
      </c>
      <c r="D84" s="248">
        <v>9083</v>
      </c>
      <c r="E84" s="249">
        <v>1.7711656445888853</v>
      </c>
      <c r="G84">
        <v>9083</v>
      </c>
      <c r="H84">
        <v>3.5834000000000001</v>
      </c>
    </row>
    <row r="85" spans="1:8">
      <c r="A85" s="248">
        <v>9084</v>
      </c>
      <c r="B85" s="248">
        <v>1.6153999999999999</v>
      </c>
      <c r="D85" s="248">
        <v>9084</v>
      </c>
      <c r="E85" s="249">
        <v>1.784449386923302</v>
      </c>
      <c r="G85">
        <v>9084</v>
      </c>
      <c r="H85">
        <v>3.6372</v>
      </c>
    </row>
    <row r="86" spans="1:8">
      <c r="A86" s="248">
        <v>9085</v>
      </c>
      <c r="B86" s="248">
        <v>1.6267</v>
      </c>
      <c r="D86" s="248">
        <v>9085</v>
      </c>
      <c r="E86" s="249">
        <v>1.7978327573252268</v>
      </c>
      <c r="G86">
        <v>9085</v>
      </c>
      <c r="H86">
        <v>3.6918000000000002</v>
      </c>
    </row>
    <row r="87" spans="1:8">
      <c r="A87" s="248">
        <v>9086</v>
      </c>
      <c r="B87" s="248">
        <v>1.6380999999999999</v>
      </c>
      <c r="D87" s="248">
        <v>9086</v>
      </c>
      <c r="E87" s="249">
        <v>1.8113165030051661</v>
      </c>
      <c r="G87">
        <v>9086</v>
      </c>
      <c r="H87">
        <v>3.7471999999999999</v>
      </c>
    </row>
    <row r="88" spans="1:8">
      <c r="A88" s="248">
        <v>9087</v>
      </c>
      <c r="B88" s="248">
        <v>1.6496</v>
      </c>
      <c r="D88" s="248">
        <v>9087</v>
      </c>
      <c r="E88" s="249">
        <v>1.8249013767777049</v>
      </c>
      <c r="G88">
        <v>9087</v>
      </c>
      <c r="H88">
        <v>3.8033999999999999</v>
      </c>
    </row>
    <row r="89" spans="1:8">
      <c r="A89" s="248">
        <v>9088</v>
      </c>
      <c r="B89" s="248">
        <v>1.6611</v>
      </c>
      <c r="D89" s="248">
        <v>9088</v>
      </c>
      <c r="E89" s="249">
        <v>1.8385881371035377</v>
      </c>
      <c r="G89">
        <v>9088</v>
      </c>
      <c r="H89">
        <v>3.8605</v>
      </c>
    </row>
    <row r="90" spans="1:8">
      <c r="A90" s="248">
        <v>9089</v>
      </c>
      <c r="B90" s="248">
        <v>1.6727000000000001</v>
      </c>
      <c r="D90" s="248">
        <v>9089</v>
      </c>
      <c r="E90" s="249">
        <v>1.8523775481318143</v>
      </c>
      <c r="G90">
        <v>9089</v>
      </c>
      <c r="H90">
        <v>3.9184000000000001</v>
      </c>
    </row>
    <row r="91" spans="1:8">
      <c r="A91" s="248">
        <v>9090</v>
      </c>
      <c r="B91" s="248">
        <v>1.6827000000000001</v>
      </c>
      <c r="D91" s="248">
        <v>9090</v>
      </c>
      <c r="E91" s="249">
        <v>1.8662703797428031</v>
      </c>
      <c r="G91">
        <v>9090</v>
      </c>
      <c r="H91">
        <v>3.9771999999999998</v>
      </c>
    </row>
    <row r="92" spans="1:8">
      <c r="A92" s="248">
        <v>9091</v>
      </c>
      <c r="B92" s="248">
        <v>1.6928000000000001</v>
      </c>
      <c r="D92" s="248">
        <v>9091</v>
      </c>
      <c r="E92" s="249">
        <v>1.8802674075908743</v>
      </c>
      <c r="G92">
        <v>9091</v>
      </c>
      <c r="H92">
        <v>4.0369000000000002</v>
      </c>
    </row>
    <row r="93" spans="1:8">
      <c r="A93" s="248">
        <v>9092</v>
      </c>
      <c r="B93" s="248">
        <v>1.7030000000000001</v>
      </c>
      <c r="D93" s="248">
        <v>9092</v>
      </c>
      <c r="E93" s="249">
        <v>1.8943694131478059</v>
      </c>
      <c r="G93">
        <v>9092</v>
      </c>
      <c r="H93">
        <v>4.0975000000000001</v>
      </c>
    </row>
    <row r="94" spans="1:8">
      <c r="A94" s="248">
        <v>9093</v>
      </c>
      <c r="B94" s="248">
        <v>1.7132000000000001</v>
      </c>
      <c r="D94" s="248">
        <v>9093</v>
      </c>
      <c r="E94" s="249">
        <v>1.9085771837464145</v>
      </c>
      <c r="G94">
        <v>9093</v>
      </c>
      <c r="H94">
        <v>4.1589999999999998</v>
      </c>
    </row>
    <row r="95" spans="1:8">
      <c r="A95" s="248">
        <v>9094</v>
      </c>
      <c r="B95" s="248">
        <v>1.7235</v>
      </c>
      <c r="D95" s="248">
        <v>9094</v>
      </c>
      <c r="E95" s="249">
        <v>1.9228915126245127</v>
      </c>
      <c r="G95">
        <v>9094</v>
      </c>
      <c r="H95">
        <v>4.2214</v>
      </c>
    </row>
    <row r="96" spans="1:8">
      <c r="A96" s="248">
        <v>9095</v>
      </c>
      <c r="B96" s="248">
        <v>1.7338</v>
      </c>
      <c r="D96" s="248">
        <v>9095</v>
      </c>
      <c r="E96" s="249">
        <v>1.9373131989691967</v>
      </c>
      <c r="G96">
        <v>9095</v>
      </c>
      <c r="H96">
        <v>4.2847</v>
      </c>
    </row>
    <row r="97" spans="1:8">
      <c r="A97" s="248">
        <v>9096</v>
      </c>
      <c r="B97" s="248">
        <v>1.7442</v>
      </c>
      <c r="D97" s="248">
        <v>9096</v>
      </c>
      <c r="E97" s="249">
        <v>1.9518430479614659</v>
      </c>
      <c r="G97">
        <v>9096</v>
      </c>
      <c r="H97">
        <v>4.3490000000000002</v>
      </c>
    </row>
    <row r="98" spans="1:8">
      <c r="A98" s="248">
        <v>9097</v>
      </c>
      <c r="B98" s="248">
        <v>1.7546999999999999</v>
      </c>
      <c r="D98" s="248">
        <v>9097</v>
      </c>
      <c r="E98" s="249">
        <v>1.9664818708211771</v>
      </c>
      <c r="G98">
        <v>9097</v>
      </c>
      <c r="H98">
        <v>4.4142000000000001</v>
      </c>
    </row>
    <row r="99" spans="1:8">
      <c r="A99" s="248">
        <v>9098</v>
      </c>
      <c r="B99" s="248">
        <v>1.7652000000000001</v>
      </c>
      <c r="D99" s="248">
        <v>9098</v>
      </c>
      <c r="E99" s="249">
        <v>1.9812304848523361</v>
      </c>
      <c r="G99">
        <v>9098</v>
      </c>
      <c r="H99">
        <v>4.4804000000000004</v>
      </c>
    </row>
    <row r="100" spans="1:8">
      <c r="A100" s="248">
        <v>9099</v>
      </c>
      <c r="B100" s="248">
        <v>1.7758</v>
      </c>
      <c r="D100" s="248">
        <v>9099</v>
      </c>
      <c r="E100" s="249">
        <v>1.9960897134887288</v>
      </c>
      <c r="G100">
        <v>9099</v>
      </c>
      <c r="H100">
        <v>4.5476000000000001</v>
      </c>
    </row>
    <row r="101" spans="1:8">
      <c r="A101" s="248">
        <v>9100</v>
      </c>
      <c r="B101" s="248">
        <v>1.7847</v>
      </c>
      <c r="D101" s="248">
        <v>2001</v>
      </c>
      <c r="E101" s="249">
        <v>0.53739999999999999</v>
      </c>
      <c r="G101">
        <v>9100</v>
      </c>
      <c r="H101">
        <v>4.6158000000000001</v>
      </c>
    </row>
    <row r="102" spans="1:8">
      <c r="A102" s="248">
        <v>9101</v>
      </c>
      <c r="B102" s="248">
        <v>1.7936000000000001</v>
      </c>
      <c r="D102" s="248">
        <v>2002</v>
      </c>
      <c r="E102" s="249">
        <v>0.55620000000000003</v>
      </c>
      <c r="G102">
        <v>9101</v>
      </c>
      <c r="H102">
        <v>4.6849999999999996</v>
      </c>
    </row>
    <row r="103" spans="1:8">
      <c r="A103" s="248">
        <v>9102</v>
      </c>
      <c r="B103" s="248">
        <v>1.8026</v>
      </c>
      <c r="D103">
        <v>2003</v>
      </c>
      <c r="E103" s="249">
        <v>0.57569999999999999</v>
      </c>
      <c r="G103">
        <v>9102</v>
      </c>
      <c r="H103">
        <v>4.7553000000000001</v>
      </c>
    </row>
    <row r="104" spans="1:8">
      <c r="A104" s="248">
        <v>9103</v>
      </c>
      <c r="B104" s="248">
        <v>1.8116000000000001</v>
      </c>
      <c r="D104">
        <v>2004</v>
      </c>
      <c r="E104" s="249">
        <v>0.5958</v>
      </c>
      <c r="G104">
        <v>9103</v>
      </c>
      <c r="H104">
        <v>4.8266</v>
      </c>
    </row>
    <row r="105" spans="1:8">
      <c r="A105" s="248">
        <v>9104</v>
      </c>
      <c r="B105" s="248">
        <v>1.8207</v>
      </c>
      <c r="D105">
        <v>2005</v>
      </c>
      <c r="E105" s="249">
        <v>0.61670000000000003</v>
      </c>
      <c r="G105">
        <v>9104</v>
      </c>
      <c r="H105">
        <v>4.899</v>
      </c>
    </row>
    <row r="106" spans="1:8">
      <c r="A106" s="248">
        <v>9105</v>
      </c>
      <c r="B106" s="248">
        <v>1.8298000000000001</v>
      </c>
      <c r="D106">
        <v>2006</v>
      </c>
      <c r="E106" s="249">
        <v>0.63829999999999998</v>
      </c>
      <c r="G106">
        <v>9105</v>
      </c>
      <c r="H106">
        <v>4.9725000000000001</v>
      </c>
    </row>
    <row r="107" spans="1:8">
      <c r="A107" s="248">
        <v>9106</v>
      </c>
      <c r="B107" s="248">
        <v>1.8389</v>
      </c>
      <c r="D107">
        <v>2007</v>
      </c>
      <c r="E107" s="249">
        <v>0.66059999999999997</v>
      </c>
      <c r="G107">
        <v>9106</v>
      </c>
      <c r="H107">
        <v>5.0471000000000004</v>
      </c>
    </row>
    <row r="108" spans="1:8">
      <c r="A108" s="248">
        <v>9107</v>
      </c>
      <c r="B108" s="248">
        <v>1.8481000000000001</v>
      </c>
      <c r="D108">
        <v>2008</v>
      </c>
      <c r="E108" s="249">
        <v>0.68369999999999997</v>
      </c>
      <c r="G108">
        <v>9107</v>
      </c>
      <c r="H108">
        <v>5.1227999999999998</v>
      </c>
    </row>
    <row r="109" spans="1:8">
      <c r="A109" s="248">
        <v>9108</v>
      </c>
      <c r="B109" s="248">
        <v>1.8573</v>
      </c>
      <c r="D109">
        <v>2009</v>
      </c>
      <c r="E109" s="249">
        <v>0.70760000000000001</v>
      </c>
      <c r="G109">
        <v>9108</v>
      </c>
      <c r="H109">
        <v>5.1996000000000002</v>
      </c>
    </row>
    <row r="110" spans="1:8">
      <c r="A110" s="248">
        <v>9109</v>
      </c>
      <c r="B110" s="248">
        <v>1.8666</v>
      </c>
      <c r="D110">
        <v>2010</v>
      </c>
      <c r="E110" s="249">
        <v>0.73240000000000005</v>
      </c>
      <c r="G110">
        <v>9109</v>
      </c>
      <c r="H110">
        <v>5.2775999999999996</v>
      </c>
    </row>
    <row r="111" spans="1:8">
      <c r="A111" s="248">
        <v>9110</v>
      </c>
      <c r="B111" s="248">
        <v>1.8758999999999999</v>
      </c>
      <c r="D111">
        <v>2011</v>
      </c>
      <c r="E111" s="249">
        <v>0.75439999999999996</v>
      </c>
      <c r="G111">
        <v>9110</v>
      </c>
      <c r="H111">
        <v>5.3567999999999998</v>
      </c>
    </row>
    <row r="112" spans="1:8">
      <c r="A112" s="248">
        <v>9111</v>
      </c>
      <c r="B112" s="248">
        <v>1.8853</v>
      </c>
      <c r="D112">
        <v>2012</v>
      </c>
      <c r="E112" s="249">
        <v>0.77700000000000002</v>
      </c>
      <c r="G112">
        <v>2001</v>
      </c>
      <c r="H112">
        <v>0.20250000000000001</v>
      </c>
    </row>
    <row r="113" spans="1:8">
      <c r="A113" s="248">
        <v>9112</v>
      </c>
      <c r="B113" s="248">
        <v>1.8947000000000001</v>
      </c>
      <c r="D113">
        <v>2013</v>
      </c>
      <c r="E113" s="249">
        <v>0.80030000000000001</v>
      </c>
      <c r="G113">
        <v>2002</v>
      </c>
      <c r="H113">
        <v>0.21460000000000001</v>
      </c>
    </row>
    <row r="114" spans="1:8">
      <c r="A114" s="248">
        <v>9113</v>
      </c>
      <c r="B114" s="248">
        <v>1.9041999999999999</v>
      </c>
      <c r="D114">
        <v>2014</v>
      </c>
      <c r="E114" s="249">
        <v>0.82430000000000003</v>
      </c>
      <c r="G114">
        <v>2003</v>
      </c>
      <c r="H114">
        <v>0.22750000000000001</v>
      </c>
    </row>
    <row r="115" spans="1:8">
      <c r="A115" s="248">
        <v>9114</v>
      </c>
      <c r="B115" s="248">
        <v>1.9137</v>
      </c>
      <c r="D115">
        <v>2015</v>
      </c>
      <c r="E115" s="249">
        <v>0.84899999999999998</v>
      </c>
      <c r="G115">
        <v>2004</v>
      </c>
      <c r="H115">
        <v>0.24110000000000001</v>
      </c>
    </row>
    <row r="116" spans="1:8">
      <c r="A116" s="248">
        <v>9115</v>
      </c>
      <c r="B116" s="248">
        <v>1.9233</v>
      </c>
      <c r="D116">
        <v>2016</v>
      </c>
      <c r="E116" s="249">
        <v>0.87450000000000006</v>
      </c>
      <c r="G116">
        <v>2005</v>
      </c>
      <c r="H116">
        <v>0.25559999999999999</v>
      </c>
    </row>
    <row r="117" spans="1:8">
      <c r="A117" s="248">
        <v>9116</v>
      </c>
      <c r="B117" s="248">
        <v>1.9329000000000001</v>
      </c>
      <c r="D117">
        <v>2017</v>
      </c>
      <c r="E117" s="249">
        <v>0.90069999999999995</v>
      </c>
      <c r="G117">
        <v>2006</v>
      </c>
      <c r="H117">
        <v>0.27089999999999997</v>
      </c>
    </row>
    <row r="118" spans="1:8">
      <c r="A118" s="248">
        <v>9117</v>
      </c>
      <c r="B118" s="248">
        <v>1.9426000000000001</v>
      </c>
      <c r="D118">
        <v>2018</v>
      </c>
      <c r="E118" s="249">
        <v>0.92769999999999997</v>
      </c>
      <c r="G118">
        <v>2007</v>
      </c>
      <c r="H118">
        <v>0.28720000000000001</v>
      </c>
    </row>
    <row r="119" spans="1:8">
      <c r="A119" s="248">
        <v>9118</v>
      </c>
      <c r="B119" s="248">
        <v>1.9522999999999999</v>
      </c>
      <c r="D119">
        <v>2019</v>
      </c>
      <c r="E119" s="249">
        <v>0.95550000000000002</v>
      </c>
      <c r="G119">
        <v>2008</v>
      </c>
      <c r="H119">
        <v>0.3044</v>
      </c>
    </row>
    <row r="120" spans="1:8">
      <c r="A120" s="248">
        <v>9119</v>
      </c>
      <c r="B120" s="248">
        <v>1.9621</v>
      </c>
      <c r="D120">
        <v>2020</v>
      </c>
      <c r="E120" s="249">
        <v>0.98419999999999996</v>
      </c>
      <c r="G120">
        <v>2009</v>
      </c>
      <c r="H120">
        <v>0.32269999999999999</v>
      </c>
    </row>
    <row r="121" spans="1:8">
      <c r="A121" s="248">
        <v>9120</v>
      </c>
      <c r="B121" s="248">
        <v>1.9719</v>
      </c>
      <c r="D121">
        <v>2021</v>
      </c>
      <c r="E121" s="249">
        <v>1.0137</v>
      </c>
      <c r="G121">
        <v>2010</v>
      </c>
      <c r="H121">
        <v>0.34210000000000002</v>
      </c>
    </row>
    <row r="122" spans="1:8">
      <c r="A122" s="248">
        <v>9121</v>
      </c>
      <c r="B122" s="248">
        <v>1.9818</v>
      </c>
      <c r="D122">
        <v>2022</v>
      </c>
      <c r="E122" s="249">
        <v>1.0389999999999999</v>
      </c>
      <c r="G122">
        <v>2011</v>
      </c>
      <c r="H122">
        <v>0.3609</v>
      </c>
    </row>
    <row r="123" spans="1:8">
      <c r="A123" s="248">
        <v>9122</v>
      </c>
      <c r="B123" s="248">
        <v>1.9917</v>
      </c>
      <c r="D123">
        <v>2023</v>
      </c>
      <c r="E123" s="249">
        <v>1.0649999999999999</v>
      </c>
      <c r="G123">
        <v>2012</v>
      </c>
      <c r="H123">
        <v>0.38080000000000003</v>
      </c>
    </row>
    <row r="124" spans="1:8">
      <c r="A124" s="248">
        <v>9123</v>
      </c>
      <c r="B124" s="248">
        <v>2.0017</v>
      </c>
      <c r="D124">
        <v>2024</v>
      </c>
      <c r="E124" s="249">
        <v>1.0915999999999999</v>
      </c>
      <c r="G124">
        <v>2013</v>
      </c>
      <c r="H124">
        <v>0.4017</v>
      </c>
    </row>
    <row r="125" spans="1:8">
      <c r="A125" s="248">
        <v>9124</v>
      </c>
      <c r="B125" s="248">
        <v>2.0116999999999998</v>
      </c>
      <c r="D125">
        <v>2025</v>
      </c>
      <c r="E125" s="249">
        <v>1.1189</v>
      </c>
      <c r="G125">
        <v>2014</v>
      </c>
      <c r="H125">
        <v>0.42380000000000001</v>
      </c>
    </row>
    <row r="126" spans="1:8">
      <c r="A126" s="248">
        <v>9125</v>
      </c>
      <c r="B126" s="248">
        <v>2.0167000000000002</v>
      </c>
      <c r="D126">
        <v>2026</v>
      </c>
      <c r="E126" s="249">
        <v>1.1469</v>
      </c>
      <c r="G126">
        <v>2015</v>
      </c>
      <c r="H126">
        <v>0.4471</v>
      </c>
    </row>
    <row r="127" spans="1:8">
      <c r="A127" s="248">
        <v>9126</v>
      </c>
      <c r="B127" s="248">
        <v>2.0217000000000001</v>
      </c>
      <c r="D127">
        <v>2027</v>
      </c>
      <c r="E127" s="249">
        <v>1.1755</v>
      </c>
      <c r="G127">
        <v>2016</v>
      </c>
      <c r="H127">
        <v>0.47170000000000001</v>
      </c>
    </row>
    <row r="128" spans="1:8">
      <c r="A128" s="248">
        <v>9127</v>
      </c>
      <c r="B128" s="248">
        <v>2.0268000000000002</v>
      </c>
      <c r="D128">
        <v>2028</v>
      </c>
      <c r="E128" s="249">
        <v>1.2049000000000001</v>
      </c>
      <c r="G128">
        <v>2017</v>
      </c>
      <c r="H128">
        <v>0.49759999999999999</v>
      </c>
    </row>
    <row r="129" spans="1:8">
      <c r="A129" s="248">
        <v>9128</v>
      </c>
      <c r="B129" s="248">
        <v>2.0318999999999998</v>
      </c>
      <c r="D129">
        <v>2029</v>
      </c>
      <c r="E129" s="249">
        <v>1.2350000000000001</v>
      </c>
      <c r="G129">
        <v>2018</v>
      </c>
      <c r="H129">
        <v>0.52500000000000002</v>
      </c>
    </row>
    <row r="130" spans="1:8">
      <c r="A130" s="248">
        <v>9129</v>
      </c>
      <c r="B130" s="248">
        <v>2.0369999999999999</v>
      </c>
      <c r="D130">
        <v>2030</v>
      </c>
      <c r="E130" s="249">
        <v>1.2659</v>
      </c>
      <c r="G130">
        <v>2019</v>
      </c>
      <c r="H130">
        <v>0.55389999999999995</v>
      </c>
    </row>
    <row r="131" spans="1:8">
      <c r="A131" s="248">
        <v>9130</v>
      </c>
      <c r="B131" s="248">
        <v>2.0421</v>
      </c>
      <c r="D131">
        <v>2031</v>
      </c>
      <c r="E131" s="249">
        <v>1.2976000000000001</v>
      </c>
      <c r="G131">
        <v>2020</v>
      </c>
      <c r="H131">
        <v>0.58440000000000003</v>
      </c>
    </row>
    <row r="132" spans="1:8">
      <c r="A132" s="248">
        <v>9131</v>
      </c>
      <c r="B132" s="248">
        <v>2.0472000000000001</v>
      </c>
      <c r="D132">
        <v>2032</v>
      </c>
      <c r="E132" s="249">
        <v>1.33</v>
      </c>
      <c r="G132">
        <v>2021</v>
      </c>
      <c r="H132">
        <v>0.61650000000000005</v>
      </c>
    </row>
    <row r="133" spans="1:8">
      <c r="A133" s="248">
        <v>9132</v>
      </c>
      <c r="B133" s="248">
        <v>2.0522999999999998</v>
      </c>
      <c r="D133">
        <v>2033</v>
      </c>
      <c r="E133" s="249">
        <v>1.35</v>
      </c>
      <c r="G133">
        <v>2022</v>
      </c>
      <c r="H133">
        <v>0.64729999999999999</v>
      </c>
    </row>
    <row r="134" spans="1:8">
      <c r="A134" s="248">
        <v>9133</v>
      </c>
      <c r="B134" s="248">
        <v>2.0573999999999999</v>
      </c>
      <c r="D134">
        <v>2034</v>
      </c>
      <c r="E134" s="249">
        <v>1.3702000000000001</v>
      </c>
      <c r="G134">
        <v>2023</v>
      </c>
      <c r="H134">
        <v>0.67649999999999999</v>
      </c>
    </row>
    <row r="135" spans="1:8">
      <c r="A135" s="248">
        <v>9134</v>
      </c>
      <c r="B135" s="248">
        <v>2.0625</v>
      </c>
      <c r="D135">
        <v>2035</v>
      </c>
      <c r="E135" s="249">
        <v>1.3908</v>
      </c>
      <c r="G135">
        <v>2024</v>
      </c>
      <c r="H135">
        <v>0.70350000000000001</v>
      </c>
    </row>
    <row r="136" spans="1:8">
      <c r="A136" s="248">
        <v>9135</v>
      </c>
      <c r="B136" s="248">
        <v>2.0676999999999999</v>
      </c>
      <c r="D136">
        <v>2036</v>
      </c>
      <c r="E136" s="249">
        <v>1.4116</v>
      </c>
      <c r="G136">
        <v>2025</v>
      </c>
      <c r="H136">
        <v>0.72819999999999996</v>
      </c>
    </row>
    <row r="137" spans="1:8">
      <c r="A137" s="248">
        <v>9136</v>
      </c>
      <c r="B137" s="248">
        <v>2.0729000000000002</v>
      </c>
      <c r="D137">
        <v>2037</v>
      </c>
      <c r="E137" s="249">
        <v>1.4328000000000001</v>
      </c>
      <c r="G137">
        <v>2026</v>
      </c>
      <c r="H137">
        <v>0.75</v>
      </c>
    </row>
    <row r="138" spans="1:8">
      <c r="A138" s="248">
        <v>9137</v>
      </c>
      <c r="B138" s="248">
        <v>2.0781000000000001</v>
      </c>
      <c r="D138">
        <v>2038</v>
      </c>
      <c r="E138" s="249">
        <v>1.4542999999999999</v>
      </c>
      <c r="G138">
        <v>2027</v>
      </c>
      <c r="H138">
        <v>0.77249999999999996</v>
      </c>
    </row>
    <row r="139" spans="1:8">
      <c r="A139" s="248">
        <v>9138</v>
      </c>
      <c r="B139" s="248">
        <v>2.0832999999999999</v>
      </c>
      <c r="D139">
        <v>2039</v>
      </c>
      <c r="E139" s="249">
        <v>1.4761</v>
      </c>
      <c r="G139">
        <v>2028</v>
      </c>
      <c r="H139">
        <v>0.79569999999999996</v>
      </c>
    </row>
    <row r="140" spans="1:8">
      <c r="A140" s="248">
        <v>9139</v>
      </c>
      <c r="B140" s="248">
        <v>2.0884999999999998</v>
      </c>
      <c r="D140">
        <v>2040</v>
      </c>
      <c r="E140" s="249">
        <v>1.4944999999999999</v>
      </c>
      <c r="G140">
        <v>2029</v>
      </c>
      <c r="H140">
        <v>0.81950000000000001</v>
      </c>
    </row>
    <row r="141" spans="1:8">
      <c r="A141" s="248">
        <v>9140</v>
      </c>
      <c r="B141" s="248">
        <v>2.0937000000000001</v>
      </c>
      <c r="D141">
        <v>2041</v>
      </c>
      <c r="E141" s="249">
        <v>1.5132000000000001</v>
      </c>
      <c r="G141">
        <v>2030</v>
      </c>
      <c r="H141">
        <v>0.84409999999999996</v>
      </c>
    </row>
    <row r="142" spans="1:8">
      <c r="A142" s="248">
        <v>9141</v>
      </c>
      <c r="B142" s="248">
        <v>2.0989</v>
      </c>
      <c r="D142">
        <v>2042</v>
      </c>
      <c r="E142" s="249">
        <v>1.5321</v>
      </c>
      <c r="G142">
        <v>2031</v>
      </c>
      <c r="H142">
        <v>0.86950000000000005</v>
      </c>
    </row>
    <row r="143" spans="1:8">
      <c r="A143" s="248">
        <v>9142</v>
      </c>
      <c r="B143" s="248">
        <v>2.1040999999999999</v>
      </c>
      <c r="D143">
        <v>2043</v>
      </c>
      <c r="E143" s="249">
        <v>1.5512999999999999</v>
      </c>
      <c r="G143">
        <v>2032</v>
      </c>
      <c r="H143">
        <v>0.89549999999999996</v>
      </c>
    </row>
    <row r="144" spans="1:8">
      <c r="A144" s="248">
        <v>9143</v>
      </c>
      <c r="B144" s="248">
        <v>2.1093999999999999</v>
      </c>
      <c r="D144">
        <v>2044</v>
      </c>
      <c r="E144" s="249">
        <v>1.5707</v>
      </c>
      <c r="G144">
        <v>2033</v>
      </c>
      <c r="H144">
        <v>0.9224</v>
      </c>
    </row>
    <row r="145" spans="1:8">
      <c r="A145" s="248">
        <v>9144</v>
      </c>
      <c r="B145" s="248">
        <v>2.1147</v>
      </c>
      <c r="D145">
        <v>2045</v>
      </c>
      <c r="E145" s="249">
        <v>1.5903</v>
      </c>
      <c r="G145">
        <v>2034</v>
      </c>
      <c r="H145">
        <v>0.95009999999999994</v>
      </c>
    </row>
    <row r="146" spans="1:8">
      <c r="A146" s="248">
        <v>9145</v>
      </c>
      <c r="B146" s="248">
        <v>2.1168</v>
      </c>
      <c r="D146">
        <v>2046</v>
      </c>
      <c r="E146" s="249">
        <v>1.6102000000000001</v>
      </c>
      <c r="G146">
        <v>2035</v>
      </c>
      <c r="H146">
        <v>0.97860000000000003</v>
      </c>
    </row>
    <row r="147" spans="1:8">
      <c r="A147" s="248">
        <v>9146</v>
      </c>
      <c r="B147" s="248">
        <v>2.1189</v>
      </c>
      <c r="D147">
        <v>2047</v>
      </c>
      <c r="E147" s="249">
        <v>1.6303000000000001</v>
      </c>
      <c r="G147">
        <v>2036</v>
      </c>
      <c r="H147">
        <v>1.0029999999999999</v>
      </c>
    </row>
    <row r="148" spans="1:8">
      <c r="A148" s="248">
        <v>9147</v>
      </c>
      <c r="B148" s="248">
        <v>2.121</v>
      </c>
      <c r="D148">
        <v>2048</v>
      </c>
      <c r="E148" s="249">
        <v>1.6507000000000001</v>
      </c>
      <c r="G148">
        <v>2037</v>
      </c>
      <c r="H148">
        <v>1.0230999999999999</v>
      </c>
    </row>
    <row r="149" spans="1:8">
      <c r="A149" s="248">
        <v>9148</v>
      </c>
      <c r="B149" s="248">
        <v>2.1231</v>
      </c>
      <c r="D149">
        <v>2049</v>
      </c>
      <c r="E149" s="249">
        <v>1.6713</v>
      </c>
      <c r="G149">
        <v>2038</v>
      </c>
      <c r="H149">
        <v>1.0385</v>
      </c>
    </row>
    <row r="150" spans="1:8">
      <c r="A150" s="248">
        <v>9149</v>
      </c>
      <c r="B150" s="248">
        <v>2.1252</v>
      </c>
      <c r="D150">
        <v>2050</v>
      </c>
      <c r="E150" s="249">
        <v>1.6880999999999999</v>
      </c>
      <c r="G150">
        <v>2039</v>
      </c>
      <c r="H150">
        <v>1.0488</v>
      </c>
    </row>
    <row r="151" spans="1:8">
      <c r="A151" s="248">
        <v>9150</v>
      </c>
      <c r="B151" s="248">
        <v>2.1273</v>
      </c>
      <c r="D151">
        <v>2051</v>
      </c>
      <c r="E151" s="249">
        <v>1.7049000000000001</v>
      </c>
      <c r="G151">
        <v>2040</v>
      </c>
      <c r="H151">
        <v>1.0592999999999999</v>
      </c>
    </row>
    <row r="152" spans="1:8">
      <c r="A152" s="248">
        <v>9151</v>
      </c>
      <c r="B152" s="248">
        <v>2.1294</v>
      </c>
      <c r="D152">
        <v>2052</v>
      </c>
      <c r="E152" s="249">
        <v>1.722</v>
      </c>
      <c r="G152">
        <v>2041</v>
      </c>
      <c r="H152">
        <v>1.0699000000000001</v>
      </c>
    </row>
    <row r="153" spans="1:8">
      <c r="A153" s="248">
        <v>9152</v>
      </c>
      <c r="B153" s="248">
        <v>2.1315</v>
      </c>
      <c r="D153">
        <v>2053</v>
      </c>
      <c r="E153" s="249">
        <v>1.7392000000000001</v>
      </c>
      <c r="G153">
        <v>2042</v>
      </c>
      <c r="H153">
        <v>1.0806</v>
      </c>
    </row>
    <row r="154" spans="1:8">
      <c r="A154" s="248">
        <v>9153</v>
      </c>
      <c r="B154" s="248">
        <v>2.1335999999999999</v>
      </c>
      <c r="D154">
        <v>2054</v>
      </c>
      <c r="E154" s="249">
        <v>1.7565999999999999</v>
      </c>
      <c r="G154">
        <v>2043</v>
      </c>
      <c r="H154">
        <v>1.0913999999999999</v>
      </c>
    </row>
    <row r="155" spans="1:8">
      <c r="A155" s="248">
        <v>9154</v>
      </c>
      <c r="B155" s="248">
        <v>2.1356999999999999</v>
      </c>
      <c r="D155">
        <v>2055</v>
      </c>
      <c r="E155" s="249">
        <v>1.7742</v>
      </c>
      <c r="G155">
        <v>2044</v>
      </c>
      <c r="H155">
        <v>1.1023000000000001</v>
      </c>
    </row>
    <row r="156" spans="1:8">
      <c r="A156" s="248">
        <v>9155</v>
      </c>
      <c r="B156" s="248">
        <v>2.1377999999999999</v>
      </c>
      <c r="D156">
        <v>2056</v>
      </c>
      <c r="E156" s="249">
        <v>1.7919</v>
      </c>
      <c r="G156">
        <v>2045</v>
      </c>
      <c r="H156">
        <v>1.1133999999999999</v>
      </c>
    </row>
    <row r="157" spans="1:8">
      <c r="A157" s="248">
        <v>9156</v>
      </c>
      <c r="B157" s="248">
        <v>2.1398999999999999</v>
      </c>
      <c r="D157">
        <v>2057</v>
      </c>
      <c r="E157" s="249">
        <v>1.8098000000000001</v>
      </c>
      <c r="G157">
        <v>2046</v>
      </c>
      <c r="H157">
        <v>1.1245000000000001</v>
      </c>
    </row>
    <row r="158" spans="1:8">
      <c r="A158" s="248">
        <v>9157</v>
      </c>
      <c r="B158" s="248">
        <v>2.1419999999999999</v>
      </c>
      <c r="D158">
        <v>2058</v>
      </c>
      <c r="E158" s="249">
        <v>1.8279000000000001</v>
      </c>
      <c r="G158">
        <v>2047</v>
      </c>
      <c r="H158">
        <v>1.1356999999999999</v>
      </c>
    </row>
    <row r="159" spans="1:8">
      <c r="A159" s="248">
        <v>9158</v>
      </c>
      <c r="B159" s="248">
        <v>2.1440999999999999</v>
      </c>
      <c r="D159">
        <v>2059</v>
      </c>
      <c r="E159" s="249">
        <v>1.8462000000000001</v>
      </c>
      <c r="G159">
        <v>2048</v>
      </c>
      <c r="H159">
        <v>1.1471</v>
      </c>
    </row>
    <row r="160" spans="1:8">
      <c r="A160" s="248">
        <v>9159</v>
      </c>
      <c r="B160" s="248">
        <v>2.1461999999999999</v>
      </c>
      <c r="D160">
        <v>2060</v>
      </c>
      <c r="E160" s="249">
        <v>1.8647</v>
      </c>
      <c r="G160">
        <v>2049</v>
      </c>
      <c r="H160">
        <v>1.1586000000000001</v>
      </c>
    </row>
    <row r="161" spans="1:8">
      <c r="A161" s="248">
        <v>9160</v>
      </c>
      <c r="B161" s="248">
        <v>2.1482999999999999</v>
      </c>
      <c r="D161">
        <v>2061</v>
      </c>
      <c r="E161" s="249">
        <v>1.8833</v>
      </c>
      <c r="G161">
        <v>2050</v>
      </c>
      <c r="H161">
        <v>1.1701999999999999</v>
      </c>
    </row>
    <row r="162" spans="1:8">
      <c r="A162" s="248">
        <v>2001</v>
      </c>
      <c r="B162">
        <v>0.27360000000000001</v>
      </c>
      <c r="D162">
        <v>2062</v>
      </c>
      <c r="E162" s="249">
        <v>1.9020999999999999</v>
      </c>
      <c r="G162">
        <v>2051</v>
      </c>
      <c r="H162">
        <v>1.1819</v>
      </c>
    </row>
    <row r="163" spans="1:8">
      <c r="A163" s="248">
        <v>2002</v>
      </c>
      <c r="B163">
        <v>0.28449999999999998</v>
      </c>
      <c r="D163">
        <v>2063</v>
      </c>
      <c r="E163" s="249">
        <v>1.9211</v>
      </c>
      <c r="G163">
        <v>2052</v>
      </c>
      <c r="H163">
        <v>1.1937</v>
      </c>
    </row>
    <row r="164" spans="1:8">
      <c r="A164" s="248">
        <v>2003</v>
      </c>
      <c r="B164">
        <v>0.2959</v>
      </c>
      <c r="D164">
        <v>2064</v>
      </c>
      <c r="E164" s="249">
        <v>1.9402999999999999</v>
      </c>
      <c r="G164">
        <v>2053</v>
      </c>
      <c r="H164">
        <v>1.2056</v>
      </c>
    </row>
    <row r="165" spans="1:8">
      <c r="A165" s="248">
        <v>2004</v>
      </c>
      <c r="B165">
        <v>0.30769999999999997</v>
      </c>
      <c r="D165">
        <v>2065</v>
      </c>
      <c r="E165" s="249">
        <v>1.9597</v>
      </c>
      <c r="G165">
        <v>2054</v>
      </c>
      <c r="H165">
        <v>1.2177</v>
      </c>
    </row>
    <row r="166" spans="1:8">
      <c r="A166" s="248">
        <v>2005</v>
      </c>
      <c r="B166">
        <v>0.32</v>
      </c>
      <c r="D166">
        <v>2066</v>
      </c>
      <c r="E166" s="249">
        <v>1.9793000000000001</v>
      </c>
      <c r="G166">
        <v>2055</v>
      </c>
      <c r="H166">
        <v>1.2299</v>
      </c>
    </row>
    <row r="167" spans="1:8">
      <c r="A167" s="248">
        <v>2006</v>
      </c>
      <c r="B167">
        <v>0.33279999999999998</v>
      </c>
      <c r="D167" s="248">
        <v>2067</v>
      </c>
      <c r="E167" s="249">
        <v>1.9991000000000001</v>
      </c>
      <c r="G167">
        <v>2056</v>
      </c>
      <c r="H167">
        <v>1.2422</v>
      </c>
    </row>
    <row r="168" spans="1:8">
      <c r="A168" s="248">
        <v>2007</v>
      </c>
      <c r="B168">
        <v>0.34610000000000002</v>
      </c>
      <c r="D168" s="248">
        <v>2068</v>
      </c>
      <c r="E168" s="249">
        <v>2.0190999999999999</v>
      </c>
      <c r="G168">
        <v>2057</v>
      </c>
      <c r="H168">
        <v>1.2545999999999999</v>
      </c>
    </row>
    <row r="169" spans="1:8">
      <c r="A169" s="248">
        <v>2008</v>
      </c>
      <c r="B169">
        <v>0.3599</v>
      </c>
      <c r="D169" s="248">
        <v>2069</v>
      </c>
      <c r="E169" s="249">
        <v>2.0392999999999999</v>
      </c>
      <c r="G169">
        <v>2058</v>
      </c>
      <c r="H169">
        <v>1.2670999999999999</v>
      </c>
    </row>
    <row r="170" spans="1:8">
      <c r="A170" s="248">
        <v>2009</v>
      </c>
      <c r="B170">
        <v>0.37430000000000002</v>
      </c>
      <c r="D170" s="248">
        <v>2070</v>
      </c>
      <c r="E170" s="249">
        <v>2.0596999999999999</v>
      </c>
      <c r="G170">
        <v>2059</v>
      </c>
      <c r="H170">
        <v>1.2798</v>
      </c>
    </row>
    <row r="171" spans="1:8">
      <c r="A171" s="248">
        <v>2010</v>
      </c>
      <c r="B171">
        <v>0.38929999999999998</v>
      </c>
      <c r="D171" s="248">
        <v>2071</v>
      </c>
      <c r="E171" s="249">
        <v>2.0802999999999998</v>
      </c>
      <c r="G171">
        <v>2060</v>
      </c>
      <c r="H171">
        <v>1.2926</v>
      </c>
    </row>
    <row r="172" spans="1:8">
      <c r="A172">
        <v>2011</v>
      </c>
      <c r="B172">
        <v>0.40289999999999998</v>
      </c>
      <c r="D172" s="248">
        <v>2072</v>
      </c>
      <c r="E172" s="249">
        <v>2.1011000000000002</v>
      </c>
      <c r="G172">
        <v>2061</v>
      </c>
      <c r="H172">
        <v>1.3055000000000001</v>
      </c>
    </row>
    <row r="173" spans="1:8">
      <c r="A173">
        <v>2012</v>
      </c>
      <c r="B173">
        <v>0.41699999999999998</v>
      </c>
      <c r="D173" s="248">
        <v>2073</v>
      </c>
      <c r="E173" s="249">
        <v>2.1221000000000001</v>
      </c>
      <c r="G173">
        <v>2062</v>
      </c>
      <c r="H173">
        <v>1.3186</v>
      </c>
    </row>
    <row r="174" spans="1:8">
      <c r="A174">
        <v>2013</v>
      </c>
      <c r="B174">
        <v>0.43159999999999998</v>
      </c>
      <c r="D174" s="248">
        <v>2074</v>
      </c>
      <c r="E174" s="249">
        <v>2.1433</v>
      </c>
      <c r="G174">
        <v>2063</v>
      </c>
      <c r="H174">
        <v>1.3318000000000001</v>
      </c>
    </row>
    <row r="175" spans="1:8">
      <c r="A175">
        <v>2014</v>
      </c>
      <c r="B175">
        <v>0.44669999999999999</v>
      </c>
      <c r="D175" s="248">
        <v>2075</v>
      </c>
      <c r="E175" s="249">
        <v>2.1646999999999998</v>
      </c>
      <c r="G175">
        <v>2064</v>
      </c>
      <c r="H175">
        <v>1.3451</v>
      </c>
    </row>
    <row r="176" spans="1:8">
      <c r="A176">
        <v>2015</v>
      </c>
      <c r="B176">
        <v>0.46229999999999999</v>
      </c>
      <c r="D176" s="248">
        <v>2076</v>
      </c>
      <c r="E176" s="249">
        <v>2.1863000000000001</v>
      </c>
      <c r="G176">
        <v>2065</v>
      </c>
      <c r="H176">
        <v>1.3586</v>
      </c>
    </row>
    <row r="177" spans="1:8">
      <c r="A177">
        <v>2016</v>
      </c>
      <c r="B177">
        <v>0.47849999999999998</v>
      </c>
      <c r="D177" s="248">
        <v>2077</v>
      </c>
      <c r="E177" s="249">
        <v>2.2082000000000002</v>
      </c>
      <c r="G177">
        <v>2066</v>
      </c>
      <c r="H177">
        <v>1.3722000000000001</v>
      </c>
    </row>
    <row r="178" spans="1:8">
      <c r="A178">
        <v>2017</v>
      </c>
      <c r="B178">
        <v>0.49519999999999997</v>
      </c>
      <c r="D178" s="248">
        <v>2078</v>
      </c>
      <c r="E178" s="249">
        <v>2.2303000000000002</v>
      </c>
      <c r="G178">
        <v>2067</v>
      </c>
      <c r="H178">
        <v>1.3858999999999999</v>
      </c>
    </row>
    <row r="179" spans="1:8">
      <c r="A179">
        <v>2018</v>
      </c>
      <c r="B179">
        <v>0.51249999999999996</v>
      </c>
      <c r="D179" s="248">
        <v>2079</v>
      </c>
      <c r="E179" s="249">
        <v>2.2526000000000002</v>
      </c>
      <c r="G179">
        <v>2068</v>
      </c>
      <c r="H179">
        <v>1.3997999999999999</v>
      </c>
    </row>
    <row r="180" spans="1:8">
      <c r="A180">
        <v>2019</v>
      </c>
      <c r="B180">
        <v>0.53039999999999998</v>
      </c>
      <c r="D180" s="248">
        <v>2080</v>
      </c>
      <c r="E180" s="249">
        <v>2.2694999999999999</v>
      </c>
      <c r="G180">
        <v>2069</v>
      </c>
      <c r="H180">
        <v>1.4137999999999999</v>
      </c>
    </row>
    <row r="181" spans="1:8">
      <c r="A181">
        <v>2020</v>
      </c>
      <c r="B181">
        <v>0.54900000000000004</v>
      </c>
      <c r="D181" s="248">
        <v>2081</v>
      </c>
      <c r="E181" s="249">
        <v>2.2865000000000002</v>
      </c>
      <c r="G181">
        <v>2070</v>
      </c>
      <c r="H181">
        <v>1.4278999999999999</v>
      </c>
    </row>
    <row r="182" spans="1:8">
      <c r="A182">
        <v>2021</v>
      </c>
      <c r="B182">
        <v>0.5655</v>
      </c>
      <c r="D182" s="248">
        <v>2082</v>
      </c>
      <c r="E182" s="249">
        <v>2.3035999999999999</v>
      </c>
      <c r="G182">
        <v>8001</v>
      </c>
      <c r="H182">
        <v>0.1055</v>
      </c>
    </row>
    <row r="183" spans="1:8">
      <c r="A183">
        <v>2022</v>
      </c>
      <c r="B183">
        <v>0.58250000000000002</v>
      </c>
      <c r="D183" s="248">
        <v>2083</v>
      </c>
      <c r="E183" s="249">
        <v>2.3209</v>
      </c>
      <c r="G183">
        <v>8002</v>
      </c>
      <c r="H183">
        <v>0.1139</v>
      </c>
    </row>
    <row r="184" spans="1:8">
      <c r="A184">
        <v>2023</v>
      </c>
      <c r="B184">
        <v>0.6</v>
      </c>
      <c r="D184" s="248">
        <v>2084</v>
      </c>
      <c r="E184" s="249">
        <v>2.3382999999999998</v>
      </c>
      <c r="G184">
        <v>8003</v>
      </c>
      <c r="H184">
        <v>0.123</v>
      </c>
    </row>
    <row r="185" spans="1:8">
      <c r="A185">
        <v>2024</v>
      </c>
      <c r="B185">
        <v>0.61799999999999999</v>
      </c>
      <c r="D185" s="248">
        <v>2085</v>
      </c>
      <c r="E185" s="249">
        <v>2.3557999999999999</v>
      </c>
      <c r="G185">
        <v>8004</v>
      </c>
      <c r="H185">
        <v>0.1328</v>
      </c>
    </row>
    <row r="186" spans="1:8">
      <c r="A186">
        <v>2025</v>
      </c>
      <c r="B186">
        <v>0.63649999999999995</v>
      </c>
      <c r="D186" s="248">
        <v>2086</v>
      </c>
      <c r="E186" s="249">
        <v>2.3734999999999999</v>
      </c>
      <c r="G186">
        <v>8005</v>
      </c>
      <c r="H186">
        <v>0.1434</v>
      </c>
    </row>
    <row r="187" spans="1:8">
      <c r="A187">
        <v>2026</v>
      </c>
      <c r="B187">
        <v>0.65559999999999996</v>
      </c>
      <c r="D187" s="248">
        <v>2087</v>
      </c>
      <c r="E187" s="249">
        <v>2.3913000000000002</v>
      </c>
      <c r="G187">
        <v>8006</v>
      </c>
      <c r="H187">
        <v>0.15490000000000001</v>
      </c>
    </row>
    <row r="188" spans="1:8">
      <c r="A188">
        <v>2027</v>
      </c>
      <c r="B188">
        <v>0.67530000000000001</v>
      </c>
      <c r="D188" s="248">
        <v>2088</v>
      </c>
      <c r="E188" s="249">
        <v>2.4091999999999998</v>
      </c>
      <c r="G188">
        <v>8007</v>
      </c>
      <c r="H188">
        <v>0.1673</v>
      </c>
    </row>
    <row r="189" spans="1:8">
      <c r="A189">
        <v>2028</v>
      </c>
      <c r="B189">
        <v>0.6956</v>
      </c>
      <c r="D189" s="248">
        <v>2089</v>
      </c>
      <c r="E189" s="249">
        <v>2.4272999999999998</v>
      </c>
      <c r="G189">
        <v>8008</v>
      </c>
      <c r="H189">
        <v>0.1807</v>
      </c>
    </row>
    <row r="190" spans="1:8">
      <c r="A190">
        <v>2029</v>
      </c>
      <c r="B190">
        <v>0.71650000000000003</v>
      </c>
      <c r="D190" s="248">
        <v>2090</v>
      </c>
      <c r="E190" s="249">
        <v>2.4455</v>
      </c>
      <c r="G190">
        <v>8009</v>
      </c>
      <c r="H190">
        <v>0.19520000000000001</v>
      </c>
    </row>
    <row r="191" spans="1:8">
      <c r="A191">
        <v>2030</v>
      </c>
      <c r="B191">
        <v>0.7380000000000001</v>
      </c>
      <c r="D191" s="248">
        <v>2091</v>
      </c>
      <c r="E191" s="249">
        <v>2.4638</v>
      </c>
      <c r="G191">
        <v>8010</v>
      </c>
      <c r="H191">
        <v>0.21079999999999999</v>
      </c>
    </row>
    <row r="192" spans="1:8">
      <c r="A192">
        <v>2031</v>
      </c>
      <c r="B192">
        <v>0.75649999999999995</v>
      </c>
      <c r="D192" s="248">
        <v>2092</v>
      </c>
      <c r="E192" s="249">
        <v>2.4823</v>
      </c>
      <c r="G192">
        <v>8011</v>
      </c>
      <c r="H192">
        <v>0.22770000000000001</v>
      </c>
    </row>
    <row r="193" spans="1:8">
      <c r="A193">
        <v>2032</v>
      </c>
      <c r="B193">
        <v>0.77539999999999998</v>
      </c>
      <c r="D193" s="248">
        <v>2093</v>
      </c>
      <c r="E193" s="249">
        <v>2.5009000000000001</v>
      </c>
      <c r="G193">
        <v>8012</v>
      </c>
      <c r="H193">
        <v>0.24590000000000001</v>
      </c>
    </row>
    <row r="194" spans="1:8">
      <c r="A194">
        <v>2033</v>
      </c>
      <c r="B194">
        <v>0.79479999999999995</v>
      </c>
      <c r="D194" s="248">
        <v>2094</v>
      </c>
      <c r="E194" s="249">
        <v>2.5196999999999998</v>
      </c>
      <c r="G194">
        <v>8013</v>
      </c>
      <c r="H194">
        <v>0.2656</v>
      </c>
    </row>
    <row r="195" spans="1:8">
      <c r="A195">
        <v>2034</v>
      </c>
      <c r="B195">
        <v>0.81469999999999998</v>
      </c>
      <c r="D195" s="248">
        <v>2095</v>
      </c>
      <c r="E195" s="249">
        <v>2.5386000000000002</v>
      </c>
      <c r="G195">
        <v>8014</v>
      </c>
      <c r="H195">
        <v>0.28689999999999999</v>
      </c>
    </row>
    <row r="196" spans="1:8">
      <c r="A196">
        <v>2035</v>
      </c>
      <c r="B196">
        <v>0.83509999999999995</v>
      </c>
      <c r="D196" s="248">
        <v>2096</v>
      </c>
      <c r="E196" s="249">
        <v>2.5575999999999999</v>
      </c>
      <c r="G196">
        <v>8015</v>
      </c>
      <c r="H196">
        <v>0.30980000000000002</v>
      </c>
    </row>
    <row r="197" spans="1:8">
      <c r="A197">
        <v>2036</v>
      </c>
      <c r="B197">
        <v>0.85599999999999998</v>
      </c>
      <c r="D197" s="248">
        <v>2097</v>
      </c>
      <c r="E197" s="249">
        <v>2.5768</v>
      </c>
      <c r="G197">
        <v>8016</v>
      </c>
      <c r="H197">
        <v>0.33460000000000001</v>
      </c>
    </row>
    <row r="198" spans="1:8">
      <c r="A198">
        <v>2037</v>
      </c>
      <c r="B198">
        <v>0.87739999999999996</v>
      </c>
      <c r="D198" s="248">
        <v>2098</v>
      </c>
      <c r="E198" s="249">
        <v>2.5960999999999999</v>
      </c>
      <c r="G198">
        <v>8017</v>
      </c>
      <c r="H198">
        <v>0.3614</v>
      </c>
    </row>
    <row r="199" spans="1:8">
      <c r="A199">
        <v>2038</v>
      </c>
      <c r="B199">
        <v>0.89929999999999999</v>
      </c>
      <c r="D199" s="248">
        <v>2099</v>
      </c>
      <c r="E199" s="249">
        <v>2.6156000000000001</v>
      </c>
      <c r="G199">
        <v>8018</v>
      </c>
      <c r="H199">
        <v>0.39029999999999998</v>
      </c>
    </row>
    <row r="200" spans="1:8">
      <c r="A200">
        <v>2039</v>
      </c>
      <c r="B200">
        <v>0.92179999999999995</v>
      </c>
      <c r="D200">
        <v>8001</v>
      </c>
      <c r="E200" s="249">
        <v>1</v>
      </c>
      <c r="G200">
        <v>8019</v>
      </c>
      <c r="H200">
        <v>0.42149999999999999</v>
      </c>
    </row>
    <row r="201" spans="1:8">
      <c r="A201">
        <v>2040</v>
      </c>
      <c r="B201">
        <v>0.94479999999999997</v>
      </c>
      <c r="D201">
        <v>8002</v>
      </c>
      <c r="E201" s="249">
        <v>1</v>
      </c>
      <c r="G201">
        <v>8020</v>
      </c>
      <c r="H201">
        <v>0.45519999999999999</v>
      </c>
    </row>
    <row r="202" spans="1:8">
      <c r="A202">
        <v>2041</v>
      </c>
      <c r="B202">
        <v>0.96840000000000004</v>
      </c>
      <c r="D202">
        <v>8003</v>
      </c>
      <c r="E202" s="249">
        <v>1</v>
      </c>
      <c r="G202">
        <v>8021</v>
      </c>
      <c r="H202">
        <v>0.49159999999999998</v>
      </c>
    </row>
    <row r="203" spans="1:8">
      <c r="A203">
        <v>2042</v>
      </c>
      <c r="B203">
        <v>0.99260000000000004</v>
      </c>
      <c r="D203">
        <v>8004</v>
      </c>
      <c r="E203" s="249">
        <v>1</v>
      </c>
      <c r="G203">
        <v>8022</v>
      </c>
      <c r="H203">
        <v>0.52729999999999999</v>
      </c>
    </row>
    <row r="204" spans="1:8">
      <c r="A204">
        <v>2043</v>
      </c>
      <c r="B204">
        <v>1.0174000000000001</v>
      </c>
      <c r="D204">
        <v>8005</v>
      </c>
      <c r="E204" s="249">
        <v>1</v>
      </c>
      <c r="G204">
        <v>8023</v>
      </c>
      <c r="H204">
        <v>0.5615</v>
      </c>
    </row>
    <row r="205" spans="1:8">
      <c r="A205">
        <v>2044</v>
      </c>
      <c r="B205">
        <v>1.0427999999999999</v>
      </c>
      <c r="D205">
        <v>8006</v>
      </c>
      <c r="E205" s="249">
        <v>1</v>
      </c>
      <c r="G205">
        <v>8024</v>
      </c>
      <c r="H205">
        <v>0.59379999999999999</v>
      </c>
    </row>
    <row r="206" spans="1:8">
      <c r="A206">
        <v>2045</v>
      </c>
      <c r="B206">
        <v>1.0689</v>
      </c>
      <c r="D206">
        <v>8007</v>
      </c>
      <c r="E206" s="249">
        <v>1</v>
      </c>
      <c r="G206">
        <v>8025</v>
      </c>
      <c r="H206">
        <v>0.62350000000000005</v>
      </c>
    </row>
    <row r="207" spans="1:8">
      <c r="A207">
        <v>2046</v>
      </c>
      <c r="B207">
        <v>1.0955999999999999</v>
      </c>
      <c r="D207">
        <v>8008</v>
      </c>
      <c r="E207" s="249">
        <v>1</v>
      </c>
      <c r="G207">
        <v>8026</v>
      </c>
      <c r="H207">
        <v>0.65</v>
      </c>
    </row>
    <row r="208" spans="1:8">
      <c r="A208">
        <v>2047</v>
      </c>
      <c r="B208">
        <v>1.123</v>
      </c>
      <c r="D208">
        <v>8009</v>
      </c>
      <c r="E208" s="249">
        <v>1</v>
      </c>
      <c r="G208">
        <v>8027</v>
      </c>
      <c r="H208">
        <v>0.67279999999999995</v>
      </c>
    </row>
    <row r="209" spans="1:8">
      <c r="A209">
        <v>2048</v>
      </c>
      <c r="B209">
        <v>1.1511</v>
      </c>
      <c r="D209">
        <v>8010</v>
      </c>
      <c r="E209" s="249">
        <v>1</v>
      </c>
      <c r="G209">
        <v>8028</v>
      </c>
      <c r="H209">
        <v>0.69289999999999996</v>
      </c>
    </row>
    <row r="210" spans="1:8">
      <c r="A210">
        <v>2049</v>
      </c>
      <c r="B210">
        <v>1.1798999999999999</v>
      </c>
      <c r="D210">
        <v>8011</v>
      </c>
      <c r="E210" s="249">
        <v>1</v>
      </c>
      <c r="G210">
        <v>8029</v>
      </c>
      <c r="H210">
        <v>0.7137</v>
      </c>
    </row>
    <row r="211" spans="1:8">
      <c r="A211">
        <v>2050</v>
      </c>
      <c r="B211">
        <v>1.2094</v>
      </c>
      <c r="D211">
        <v>8012</v>
      </c>
      <c r="E211" s="249">
        <v>1</v>
      </c>
      <c r="G211">
        <v>8030</v>
      </c>
      <c r="H211">
        <v>0.73509999999999998</v>
      </c>
    </row>
    <row r="212" spans="1:8">
      <c r="A212">
        <v>2051</v>
      </c>
      <c r="B212">
        <v>1.2396</v>
      </c>
      <c r="D212">
        <v>8013</v>
      </c>
      <c r="E212" s="249">
        <v>1</v>
      </c>
      <c r="G212">
        <v>8031</v>
      </c>
      <c r="H212">
        <v>0.75719999999999998</v>
      </c>
    </row>
    <row r="213" spans="1:8">
      <c r="A213">
        <v>2052</v>
      </c>
      <c r="B213">
        <v>1.2706</v>
      </c>
      <c r="D213">
        <v>8014</v>
      </c>
      <c r="E213" s="249">
        <v>1</v>
      </c>
      <c r="G213">
        <v>8032</v>
      </c>
      <c r="H213">
        <v>0.77990000000000004</v>
      </c>
    </row>
    <row r="214" spans="1:8">
      <c r="A214">
        <v>2053</v>
      </c>
      <c r="B214">
        <v>1.3024</v>
      </c>
      <c r="D214">
        <v>8015</v>
      </c>
      <c r="E214" s="249">
        <v>1.0249999999999999</v>
      </c>
      <c r="G214">
        <v>8033</v>
      </c>
      <c r="H214">
        <v>0.80330000000000001</v>
      </c>
    </row>
    <row r="215" spans="1:8">
      <c r="A215">
        <v>2054</v>
      </c>
      <c r="B215">
        <v>1.335</v>
      </c>
      <c r="D215">
        <v>8016</v>
      </c>
      <c r="E215" s="249">
        <v>1.0499999999999998</v>
      </c>
      <c r="G215">
        <v>8034</v>
      </c>
      <c r="H215">
        <v>0.82740000000000002</v>
      </c>
    </row>
    <row r="216" spans="1:8">
      <c r="A216">
        <v>2055</v>
      </c>
      <c r="B216">
        <v>1.3684000000000001</v>
      </c>
      <c r="D216">
        <v>8017</v>
      </c>
      <c r="E216" s="249">
        <v>1.0749999999999997</v>
      </c>
      <c r="G216">
        <v>8035</v>
      </c>
      <c r="H216">
        <v>0.85219999999999996</v>
      </c>
    </row>
    <row r="217" spans="1:8">
      <c r="A217">
        <v>2056</v>
      </c>
      <c r="B217">
        <v>1.4026000000000001</v>
      </c>
      <c r="D217">
        <v>8018</v>
      </c>
      <c r="E217" s="249">
        <v>1.0999999999999996</v>
      </c>
      <c r="G217">
        <v>8036</v>
      </c>
      <c r="H217">
        <v>0.87780000000000002</v>
      </c>
    </row>
    <row r="218" spans="1:8">
      <c r="A218">
        <v>2057</v>
      </c>
      <c r="B218">
        <v>1.4377</v>
      </c>
      <c r="D218">
        <v>8019</v>
      </c>
      <c r="E218" s="249">
        <v>1.1249999999999996</v>
      </c>
      <c r="G218">
        <v>8037</v>
      </c>
      <c r="H218">
        <v>0.90410000000000001</v>
      </c>
    </row>
    <row r="219" spans="1:8">
      <c r="A219">
        <v>2058</v>
      </c>
      <c r="B219">
        <v>1.4736</v>
      </c>
      <c r="D219">
        <v>8020</v>
      </c>
      <c r="E219" s="249">
        <v>1.1499999999999995</v>
      </c>
      <c r="G219">
        <v>8038</v>
      </c>
      <c r="H219">
        <v>0.93120000000000003</v>
      </c>
    </row>
    <row r="220" spans="1:8">
      <c r="A220">
        <v>2059</v>
      </c>
      <c r="B220">
        <v>1.5104</v>
      </c>
      <c r="D220">
        <v>8021</v>
      </c>
      <c r="E220" s="249">
        <v>1.1749999999999994</v>
      </c>
      <c r="G220">
        <v>8039</v>
      </c>
      <c r="H220">
        <v>0.95920000000000005</v>
      </c>
    </row>
    <row r="221" spans="1:8">
      <c r="A221">
        <v>2060</v>
      </c>
      <c r="B221">
        <v>1.5482</v>
      </c>
      <c r="D221">
        <v>8022</v>
      </c>
      <c r="E221" s="249">
        <v>1.1999999999999993</v>
      </c>
      <c r="G221">
        <v>8040</v>
      </c>
      <c r="H221">
        <v>0.98080000000000001</v>
      </c>
    </row>
    <row r="222" spans="1:8">
      <c r="A222">
        <v>2061</v>
      </c>
      <c r="B222">
        <v>1.5869</v>
      </c>
      <c r="D222">
        <v>8023</v>
      </c>
      <c r="E222" s="249">
        <v>1.2099999999999993</v>
      </c>
      <c r="G222">
        <v>8041</v>
      </c>
      <c r="H222">
        <v>1.0027999999999999</v>
      </c>
    </row>
    <row r="223" spans="1:8">
      <c r="A223">
        <v>2062</v>
      </c>
      <c r="B223">
        <v>1.6266</v>
      </c>
      <c r="D223">
        <v>8024</v>
      </c>
      <c r="E223" s="249">
        <v>1.2199999999999993</v>
      </c>
      <c r="G223">
        <v>8042</v>
      </c>
      <c r="H223">
        <v>1.0254000000000001</v>
      </c>
    </row>
    <row r="224" spans="1:8">
      <c r="A224">
        <v>2063</v>
      </c>
      <c r="B224">
        <v>1.6673</v>
      </c>
      <c r="D224">
        <v>8025</v>
      </c>
      <c r="E224" s="249">
        <v>1.2299999999999993</v>
      </c>
      <c r="G224">
        <v>8043</v>
      </c>
      <c r="H224">
        <v>1.0485</v>
      </c>
    </row>
    <row r="225" spans="1:8">
      <c r="A225">
        <v>2064</v>
      </c>
      <c r="B225">
        <v>1.7090000000000001</v>
      </c>
      <c r="D225">
        <v>8026</v>
      </c>
      <c r="E225" s="249">
        <v>1.2399999999999993</v>
      </c>
      <c r="G225">
        <v>8044</v>
      </c>
      <c r="H225">
        <v>1.0721000000000001</v>
      </c>
    </row>
    <row r="226" spans="1:8">
      <c r="A226">
        <v>2065</v>
      </c>
      <c r="B226">
        <v>1.7517</v>
      </c>
      <c r="D226">
        <v>8027</v>
      </c>
      <c r="E226" s="249">
        <v>1.2499999999999993</v>
      </c>
      <c r="G226">
        <v>8045</v>
      </c>
      <c r="H226">
        <v>1.0962000000000001</v>
      </c>
    </row>
    <row r="227" spans="1:8">
      <c r="A227">
        <v>2066</v>
      </c>
      <c r="B227">
        <v>1.7955000000000001</v>
      </c>
      <c r="D227">
        <v>8028</v>
      </c>
      <c r="E227" s="249">
        <v>1.2599999999999993</v>
      </c>
      <c r="G227">
        <v>8046</v>
      </c>
      <c r="H227">
        <v>1.1208</v>
      </c>
    </row>
    <row r="228" spans="1:8">
      <c r="A228">
        <v>2067</v>
      </c>
      <c r="B228">
        <v>1.8404</v>
      </c>
      <c r="D228">
        <v>8029</v>
      </c>
      <c r="E228" s="249">
        <v>1.2699999999999994</v>
      </c>
      <c r="G228">
        <v>8047</v>
      </c>
      <c r="H228">
        <v>1.1460999999999999</v>
      </c>
    </row>
    <row r="229" spans="1:8">
      <c r="A229">
        <v>2068</v>
      </c>
      <c r="B229">
        <v>1.8864000000000001</v>
      </c>
      <c r="D229">
        <v>8030</v>
      </c>
      <c r="E229" s="249">
        <v>1.2799999999999994</v>
      </c>
      <c r="G229">
        <v>8048</v>
      </c>
      <c r="H229">
        <v>1.1718</v>
      </c>
    </row>
    <row r="230" spans="1:8">
      <c r="A230">
        <v>2069</v>
      </c>
      <c r="B230">
        <v>1.9336</v>
      </c>
      <c r="D230">
        <v>8031</v>
      </c>
      <c r="E230" s="249">
        <v>1.2899999999999994</v>
      </c>
      <c r="G230">
        <v>8049</v>
      </c>
      <c r="H230">
        <v>1.1981999999999999</v>
      </c>
    </row>
    <row r="231" spans="1:8">
      <c r="A231">
        <v>2070</v>
      </c>
      <c r="B231">
        <v>1.9625999999999999</v>
      </c>
      <c r="D231">
        <v>8032</v>
      </c>
      <c r="E231" s="249">
        <v>1.2999999999999994</v>
      </c>
      <c r="G231">
        <v>8050</v>
      </c>
      <c r="H231">
        <v>1.2252000000000001</v>
      </c>
    </row>
    <row r="232" spans="1:8">
      <c r="A232">
        <v>2071</v>
      </c>
      <c r="B232">
        <v>1.992</v>
      </c>
      <c r="D232">
        <v>8033</v>
      </c>
      <c r="E232" s="249">
        <v>1.3260000000000001</v>
      </c>
      <c r="G232">
        <v>8051</v>
      </c>
      <c r="H232">
        <v>1.2526999999999999</v>
      </c>
    </row>
    <row r="233" spans="1:8">
      <c r="A233">
        <v>2072</v>
      </c>
      <c r="B233">
        <v>2.0219</v>
      </c>
      <c r="D233">
        <v>8034</v>
      </c>
      <c r="E233" s="249">
        <v>1.3525199999999999</v>
      </c>
      <c r="G233">
        <v>8052</v>
      </c>
      <c r="H233">
        <v>1.2808999999999999</v>
      </c>
    </row>
    <row r="234" spans="1:8">
      <c r="A234">
        <v>2073</v>
      </c>
      <c r="B234">
        <v>2.0522</v>
      </c>
      <c r="D234">
        <v>8035</v>
      </c>
      <c r="E234" s="249">
        <v>1.3728078000000001</v>
      </c>
      <c r="G234">
        <v>8053</v>
      </c>
      <c r="H234">
        <v>1.3097000000000001</v>
      </c>
    </row>
    <row r="235" spans="1:8">
      <c r="A235">
        <v>2074</v>
      </c>
      <c r="B235">
        <v>2.0830000000000002</v>
      </c>
      <c r="D235">
        <v>8036</v>
      </c>
      <c r="E235" s="249">
        <v>1.393399917</v>
      </c>
      <c r="G235">
        <v>8054</v>
      </c>
      <c r="H235">
        <v>1.3391999999999999</v>
      </c>
    </row>
    <row r="236" spans="1:8">
      <c r="A236">
        <v>2075</v>
      </c>
      <c r="B236">
        <v>2.1141999999999999</v>
      </c>
      <c r="D236">
        <v>8037</v>
      </c>
      <c r="E236" s="249">
        <v>1.4143009157549997</v>
      </c>
      <c r="G236">
        <v>8055</v>
      </c>
      <c r="H236">
        <v>1.3693</v>
      </c>
    </row>
    <row r="237" spans="1:8">
      <c r="A237">
        <v>2076</v>
      </c>
      <c r="B237">
        <v>2.1459000000000001</v>
      </c>
      <c r="D237">
        <v>8038</v>
      </c>
      <c r="E237" s="249">
        <v>1.4355154294913246</v>
      </c>
      <c r="G237">
        <v>8056</v>
      </c>
      <c r="H237">
        <v>1.4001999999999999</v>
      </c>
    </row>
    <row r="238" spans="1:8">
      <c r="A238">
        <v>2077</v>
      </c>
      <c r="B238">
        <v>2.1781000000000001</v>
      </c>
      <c r="D238">
        <v>8039</v>
      </c>
      <c r="E238" s="249">
        <v>1.4570481609336943</v>
      </c>
      <c r="G238">
        <v>8057</v>
      </c>
      <c r="H238">
        <v>1.4317</v>
      </c>
    </row>
    <row r="239" spans="1:8">
      <c r="A239">
        <v>2078</v>
      </c>
      <c r="B239">
        <v>2.2107999999999999</v>
      </c>
      <c r="D239">
        <v>8040</v>
      </c>
      <c r="E239" s="249">
        <v>1.4730756907039646</v>
      </c>
      <c r="G239">
        <v>8058</v>
      </c>
      <c r="H239">
        <v>1.4639</v>
      </c>
    </row>
    <row r="240" spans="1:8">
      <c r="A240">
        <v>2079</v>
      </c>
      <c r="B240">
        <v>2.2440000000000002</v>
      </c>
      <c r="D240">
        <v>8041</v>
      </c>
      <c r="E240" s="249">
        <v>1.489279523301708</v>
      </c>
      <c r="G240">
        <v>8059</v>
      </c>
      <c r="H240">
        <v>1.4967999999999999</v>
      </c>
    </row>
    <row r="241" spans="1:8">
      <c r="A241">
        <v>2080</v>
      </c>
      <c r="B241">
        <v>2.2776999999999998</v>
      </c>
      <c r="D241">
        <v>8042</v>
      </c>
      <c r="E241" s="249">
        <v>1.5056615980580268</v>
      </c>
      <c r="G241">
        <v>8060</v>
      </c>
      <c r="H241">
        <v>1.5118</v>
      </c>
    </row>
    <row r="242" spans="1:8">
      <c r="A242">
        <v>2081</v>
      </c>
      <c r="B242" s="248">
        <v>2.2890999999999999</v>
      </c>
      <c r="D242">
        <v>8043</v>
      </c>
      <c r="E242" s="249">
        <v>1.5222238756366648</v>
      </c>
      <c r="G242">
        <v>8061</v>
      </c>
      <c r="H242">
        <v>1.5268999999999999</v>
      </c>
    </row>
    <row r="243" spans="1:8">
      <c r="A243">
        <v>2082</v>
      </c>
      <c r="B243" s="248">
        <v>2.3005</v>
      </c>
      <c r="D243">
        <v>8044</v>
      </c>
      <c r="E243" s="249">
        <v>1.5389683382686681</v>
      </c>
      <c r="G243">
        <v>8062</v>
      </c>
      <c r="H243">
        <v>1.5422</v>
      </c>
    </row>
    <row r="244" spans="1:8">
      <c r="A244">
        <v>2083</v>
      </c>
      <c r="B244" s="248">
        <v>2.3119999999999998</v>
      </c>
      <c r="D244">
        <v>8045</v>
      </c>
      <c r="E244" s="249">
        <v>1.5558969899896236</v>
      </c>
      <c r="G244">
        <v>8063</v>
      </c>
      <c r="H244">
        <v>1.5576000000000001</v>
      </c>
    </row>
    <row r="245" spans="1:8">
      <c r="A245">
        <v>2084</v>
      </c>
      <c r="B245" s="248">
        <v>2.3235999999999999</v>
      </c>
      <c r="D245">
        <v>8046</v>
      </c>
      <c r="E245" s="249">
        <v>1.5730118568795093</v>
      </c>
      <c r="G245">
        <v>8064</v>
      </c>
      <c r="H245">
        <v>1.5731999999999999</v>
      </c>
    </row>
    <row r="246" spans="1:8">
      <c r="A246">
        <v>2085</v>
      </c>
      <c r="B246" s="248">
        <v>2.3351999999999999</v>
      </c>
      <c r="D246">
        <v>8047</v>
      </c>
      <c r="E246" s="249">
        <v>1.5903149873051836</v>
      </c>
      <c r="G246">
        <v>8065</v>
      </c>
      <c r="H246">
        <v>1.5889</v>
      </c>
    </row>
    <row r="247" spans="1:8">
      <c r="A247">
        <v>2086</v>
      </c>
      <c r="B247" s="248">
        <v>2.3469000000000002</v>
      </c>
      <c r="D247">
        <v>8048</v>
      </c>
      <c r="E247" s="249">
        <v>1.6078084521655405</v>
      </c>
      <c r="G247">
        <v>8066</v>
      </c>
      <c r="H247">
        <v>1.6048</v>
      </c>
    </row>
    <row r="248" spans="1:8">
      <c r="A248">
        <v>2087</v>
      </c>
      <c r="B248" s="248">
        <v>2.3586</v>
      </c>
      <c r="D248">
        <v>8049</v>
      </c>
      <c r="E248" s="249">
        <v>1.6254943451393611</v>
      </c>
      <c r="G248">
        <v>8067</v>
      </c>
      <c r="H248">
        <v>1.6208</v>
      </c>
    </row>
    <row r="249" spans="1:8">
      <c r="A249">
        <v>2088</v>
      </c>
      <c r="B249" s="248">
        <v>2.3704000000000001</v>
      </c>
      <c r="D249">
        <v>8050</v>
      </c>
      <c r="E249" s="249">
        <v>1.6433747829358938</v>
      </c>
      <c r="G249">
        <v>8068</v>
      </c>
      <c r="H249">
        <v>1.637</v>
      </c>
    </row>
    <row r="250" spans="1:8">
      <c r="A250">
        <v>2089</v>
      </c>
      <c r="B250" s="248">
        <v>2.3822999999999999</v>
      </c>
      <c r="D250">
        <v>8051</v>
      </c>
      <c r="E250" s="249">
        <v>1.6614519055481884</v>
      </c>
      <c r="G250">
        <v>8069</v>
      </c>
      <c r="H250">
        <v>1.6534</v>
      </c>
    </row>
    <row r="251" spans="1:8">
      <c r="A251">
        <v>2090</v>
      </c>
      <c r="B251" s="248">
        <v>2.3942000000000001</v>
      </c>
      <c r="D251">
        <v>8052</v>
      </c>
      <c r="E251" s="249">
        <v>1.6797278765092183</v>
      </c>
      <c r="G251">
        <v>8070</v>
      </c>
      <c r="H251">
        <v>1.6698999999999999</v>
      </c>
    </row>
    <row r="252" spans="1:8">
      <c r="A252">
        <v>2091</v>
      </c>
      <c r="B252" s="248">
        <v>2.4062000000000001</v>
      </c>
      <c r="D252">
        <v>8053</v>
      </c>
      <c r="E252" s="249">
        <v>1.6982048831508196</v>
      </c>
      <c r="G252">
        <v>8071</v>
      </c>
      <c r="H252">
        <v>1.6866000000000001</v>
      </c>
    </row>
    <row r="253" spans="1:8">
      <c r="A253">
        <v>2092</v>
      </c>
      <c r="B253" s="248">
        <v>2.4182000000000001</v>
      </c>
      <c r="D253">
        <v>8054</v>
      </c>
      <c r="E253" s="249">
        <v>1.7168851368654785</v>
      </c>
      <c r="G253">
        <v>8072</v>
      </c>
      <c r="H253">
        <v>1.7035</v>
      </c>
    </row>
    <row r="254" spans="1:8">
      <c r="A254">
        <v>2093</v>
      </c>
      <c r="B254" s="248">
        <v>2.4302999999999999</v>
      </c>
      <c r="D254">
        <v>8055</v>
      </c>
      <c r="E254" s="249">
        <v>1.7357708733709987</v>
      </c>
      <c r="G254">
        <v>8073</v>
      </c>
      <c r="H254">
        <v>1.7204999999999999</v>
      </c>
    </row>
    <row r="255" spans="1:8">
      <c r="A255">
        <v>2094</v>
      </c>
      <c r="B255" s="248">
        <v>2.4424999999999999</v>
      </c>
      <c r="D255">
        <v>8056</v>
      </c>
      <c r="E255" s="249">
        <v>1.7548643529780794</v>
      </c>
      <c r="G255">
        <v>8074</v>
      </c>
      <c r="H255">
        <v>1.7377</v>
      </c>
    </row>
    <row r="256" spans="1:8">
      <c r="A256">
        <v>2095</v>
      </c>
      <c r="B256" s="248">
        <v>2.4546999999999999</v>
      </c>
      <c r="D256">
        <v>8057</v>
      </c>
      <c r="E256" s="249">
        <v>1.7741678608608382</v>
      </c>
      <c r="G256">
        <v>8075</v>
      </c>
      <c r="H256">
        <v>1.7551000000000001</v>
      </c>
    </row>
    <row r="257" spans="1:8">
      <c r="A257">
        <v>2096</v>
      </c>
      <c r="B257" s="248">
        <v>2.4670000000000001</v>
      </c>
      <c r="D257">
        <v>8058</v>
      </c>
      <c r="E257" s="249">
        <v>1.7936837073303074</v>
      </c>
      <c r="G257">
        <v>8076</v>
      </c>
      <c r="H257">
        <v>1.7726999999999999</v>
      </c>
    </row>
    <row r="258" spans="1:8">
      <c r="A258">
        <v>2097</v>
      </c>
      <c r="B258" s="248">
        <v>2.4792999999999998</v>
      </c>
      <c r="D258">
        <v>8059</v>
      </c>
      <c r="E258" s="249">
        <v>1.8134142281109407</v>
      </c>
      <c r="G258">
        <v>8077</v>
      </c>
      <c r="H258">
        <v>1.7904</v>
      </c>
    </row>
    <row r="259" spans="1:8">
      <c r="A259">
        <v>2098</v>
      </c>
      <c r="B259" s="248">
        <v>2.4916999999999998</v>
      </c>
      <c r="D259">
        <v>8060</v>
      </c>
      <c r="E259" s="249">
        <v>1.8333617846201606</v>
      </c>
      <c r="G259">
        <v>8078</v>
      </c>
      <c r="H259">
        <v>1.8083</v>
      </c>
    </row>
    <row r="260" spans="1:8">
      <c r="A260">
        <v>2099</v>
      </c>
      <c r="B260" s="248">
        <v>2.5042</v>
      </c>
      <c r="D260">
        <v>8061</v>
      </c>
      <c r="E260" s="249">
        <v>1.8535287642509821</v>
      </c>
      <c r="G260">
        <v>8079</v>
      </c>
      <c r="H260">
        <v>1.8264</v>
      </c>
    </row>
    <row r="261" spans="1:8">
      <c r="A261">
        <v>2100</v>
      </c>
      <c r="B261" s="248">
        <v>2.5167000000000002</v>
      </c>
      <c r="D261">
        <v>8062</v>
      </c>
      <c r="E261" s="249">
        <v>1.8739175806577428</v>
      </c>
      <c r="G261">
        <v>8080</v>
      </c>
      <c r="H261">
        <v>1.8447</v>
      </c>
    </row>
    <row r="262" spans="1:8">
      <c r="A262">
        <v>2101</v>
      </c>
      <c r="B262" s="248">
        <v>2.5293000000000001</v>
      </c>
      <c r="D262">
        <v>8063</v>
      </c>
      <c r="E262" s="249">
        <v>1.8945306740449777</v>
      </c>
      <c r="G262">
        <v>8081</v>
      </c>
      <c r="H262">
        <v>1.8631</v>
      </c>
    </row>
    <row r="263" spans="1:8">
      <c r="A263">
        <v>2102</v>
      </c>
      <c r="B263" s="248">
        <v>2.5419</v>
      </c>
      <c r="D263">
        <v>8064</v>
      </c>
      <c r="E263" s="249">
        <v>1.9153705114594721</v>
      </c>
      <c r="G263">
        <v>8082</v>
      </c>
      <c r="H263">
        <v>1.8816999999999999</v>
      </c>
    </row>
    <row r="264" spans="1:8">
      <c r="A264">
        <v>2103</v>
      </c>
      <c r="B264" s="248">
        <v>2.5546000000000002</v>
      </c>
      <c r="D264">
        <v>8065</v>
      </c>
      <c r="E264" s="249">
        <v>1.936439587085526</v>
      </c>
      <c r="G264">
        <v>8083</v>
      </c>
      <c r="H264">
        <v>1.9005000000000001</v>
      </c>
    </row>
    <row r="265" spans="1:8">
      <c r="A265">
        <v>2104</v>
      </c>
      <c r="B265" s="248">
        <v>2.5674000000000001</v>
      </c>
      <c r="D265">
        <v>8066</v>
      </c>
      <c r="E265" s="249">
        <v>1.9577404225434665</v>
      </c>
      <c r="G265">
        <v>8084</v>
      </c>
      <c r="H265">
        <v>1.9195</v>
      </c>
    </row>
    <row r="266" spans="1:8">
      <c r="A266">
        <v>2105</v>
      </c>
      <c r="B266" s="248">
        <v>2.5802</v>
      </c>
      <c r="D266">
        <v>8067</v>
      </c>
      <c r="E266" s="249">
        <v>1.9792755671914444</v>
      </c>
      <c r="G266">
        <v>8085</v>
      </c>
      <c r="H266">
        <v>1.9387000000000001</v>
      </c>
    </row>
    <row r="267" spans="1:8">
      <c r="A267">
        <v>2106</v>
      </c>
      <c r="B267" s="248">
        <v>2.5931000000000002</v>
      </c>
      <c r="D267">
        <v>8068</v>
      </c>
      <c r="E267" s="249">
        <v>2.0010475984305502</v>
      </c>
      <c r="G267">
        <v>8086</v>
      </c>
      <c r="H267">
        <v>1.9581</v>
      </c>
    </row>
    <row r="268" spans="1:8">
      <c r="A268">
        <v>2107</v>
      </c>
      <c r="B268" s="248">
        <v>2.6061000000000001</v>
      </c>
      <c r="D268">
        <v>8069</v>
      </c>
      <c r="E268" s="249">
        <v>2.0230591220132861</v>
      </c>
      <c r="G268">
        <v>8087</v>
      </c>
      <c r="H268">
        <v>1.9777</v>
      </c>
    </row>
    <row r="269" spans="1:8">
      <c r="A269">
        <v>2108</v>
      </c>
      <c r="B269" s="248">
        <v>2.6191</v>
      </c>
      <c r="D269">
        <v>8070</v>
      </c>
      <c r="E269" s="249">
        <v>2.0432897132334187</v>
      </c>
      <c r="G269">
        <v>8088</v>
      </c>
      <c r="H269">
        <v>1.9975000000000001</v>
      </c>
    </row>
    <row r="270" spans="1:8">
      <c r="A270">
        <v>2109</v>
      </c>
      <c r="B270" s="248">
        <v>2.6322000000000001</v>
      </c>
      <c r="D270">
        <v>8071</v>
      </c>
      <c r="E270" s="249">
        <v>2.0637226103657529</v>
      </c>
      <c r="G270">
        <v>8089</v>
      </c>
      <c r="H270">
        <v>2.0175000000000001</v>
      </c>
    </row>
    <row r="271" spans="1:8">
      <c r="A271">
        <v>2110</v>
      </c>
      <c r="B271" s="248">
        <v>2.6454</v>
      </c>
      <c r="D271">
        <v>8072</v>
      </c>
      <c r="E271" s="249">
        <v>2.0843598364694107</v>
      </c>
      <c r="G271">
        <v>8090</v>
      </c>
      <c r="H271">
        <v>2.0377000000000001</v>
      </c>
    </row>
    <row r="272" spans="1:8">
      <c r="A272">
        <v>2111</v>
      </c>
      <c r="B272" s="248">
        <v>2.6585999999999999</v>
      </c>
      <c r="D272">
        <v>8073</v>
      </c>
      <c r="E272" s="249">
        <v>2.1052034348341047</v>
      </c>
      <c r="G272">
        <v>8091</v>
      </c>
      <c r="H272">
        <v>2.0581</v>
      </c>
    </row>
    <row r="273" spans="1:8">
      <c r="A273">
        <v>2112</v>
      </c>
      <c r="B273" s="248">
        <v>2.6718999999999999</v>
      </c>
      <c r="D273">
        <v>8074</v>
      </c>
      <c r="E273" s="249">
        <v>2.1262554691824458</v>
      </c>
      <c r="G273">
        <v>8092</v>
      </c>
      <c r="H273">
        <v>2.0787</v>
      </c>
    </row>
    <row r="274" spans="1:8">
      <c r="A274">
        <v>2113</v>
      </c>
      <c r="B274" s="248">
        <v>2.6852999999999998</v>
      </c>
      <c r="D274">
        <v>8075</v>
      </c>
      <c r="E274" s="249">
        <v>2.1475180238742704</v>
      </c>
      <c r="G274">
        <v>8093</v>
      </c>
      <c r="H274">
        <v>2.0994999999999999</v>
      </c>
    </row>
    <row r="275" spans="1:8">
      <c r="A275">
        <v>2114</v>
      </c>
      <c r="B275" s="248">
        <v>2.6987000000000001</v>
      </c>
      <c r="D275">
        <v>8076</v>
      </c>
      <c r="E275" s="249">
        <v>2.1689932041130131</v>
      </c>
      <c r="G275">
        <v>8094</v>
      </c>
      <c r="H275">
        <v>2.1204999999999998</v>
      </c>
    </row>
    <row r="276" spans="1:8">
      <c r="A276">
        <v>2115</v>
      </c>
      <c r="B276" s="248">
        <v>2.7122000000000002</v>
      </c>
      <c r="D276">
        <v>8077</v>
      </c>
      <c r="E276" s="249">
        <v>2.1906831361541435</v>
      </c>
      <c r="G276">
        <v>8095</v>
      </c>
      <c r="H276">
        <v>2.1417000000000002</v>
      </c>
    </row>
    <row r="277" spans="1:8">
      <c r="A277">
        <v>2116</v>
      </c>
      <c r="B277" s="248">
        <v>2.7258</v>
      </c>
      <c r="D277">
        <v>8078</v>
      </c>
      <c r="E277" s="249">
        <v>2.2125899675156848</v>
      </c>
      <c r="G277">
        <v>8096</v>
      </c>
      <c r="H277">
        <v>2.1631</v>
      </c>
    </row>
    <row r="278" spans="1:8">
      <c r="A278">
        <v>2117</v>
      </c>
      <c r="B278" s="248">
        <v>2.7393999999999998</v>
      </c>
      <c r="D278">
        <v>8079</v>
      </c>
      <c r="E278" s="249">
        <v>2.2347158671908414</v>
      </c>
      <c r="G278">
        <v>8097</v>
      </c>
      <c r="H278">
        <v>2.1846999999999999</v>
      </c>
    </row>
    <row r="279" spans="1:8">
      <c r="A279">
        <v>2118</v>
      </c>
      <c r="B279" s="248">
        <v>2.7530999999999999</v>
      </c>
      <c r="D279">
        <v>8080</v>
      </c>
      <c r="E279" s="249">
        <v>2.2514762361947729</v>
      </c>
      <c r="G279">
        <v>8098</v>
      </c>
      <c r="H279">
        <v>2.2065000000000001</v>
      </c>
    </row>
    <row r="280" spans="1:8">
      <c r="A280">
        <v>2119</v>
      </c>
      <c r="B280" s="248">
        <v>2.7669000000000001</v>
      </c>
      <c r="D280">
        <v>8081</v>
      </c>
      <c r="E280" s="249">
        <v>2.2683623079662341</v>
      </c>
      <c r="G280">
        <v>8099</v>
      </c>
      <c r="H280">
        <v>2.2286000000000001</v>
      </c>
    </row>
    <row r="281" spans="1:8">
      <c r="A281">
        <v>2120</v>
      </c>
      <c r="B281" s="248">
        <v>2.7806999999999999</v>
      </c>
      <c r="D281">
        <v>8082</v>
      </c>
      <c r="E281" s="249">
        <v>2.285375025275981</v>
      </c>
      <c r="G281">
        <v>8100</v>
      </c>
      <c r="H281">
        <v>2.2509000000000001</v>
      </c>
    </row>
    <row r="282" spans="1:8">
      <c r="A282">
        <v>2121</v>
      </c>
      <c r="B282" s="248">
        <v>2.7946</v>
      </c>
      <c r="D282">
        <v>8083</v>
      </c>
      <c r="E282" s="249">
        <v>2.3025153379655507</v>
      </c>
      <c r="G282">
        <v>8101</v>
      </c>
      <c r="H282">
        <v>2.2734000000000001</v>
      </c>
    </row>
    <row r="283" spans="1:8">
      <c r="A283">
        <v>2122</v>
      </c>
      <c r="B283" s="248">
        <v>2.8086000000000002</v>
      </c>
      <c r="D283">
        <v>8084</v>
      </c>
      <c r="E283" s="249">
        <v>2.3197842030002929</v>
      </c>
      <c r="G283">
        <v>8102</v>
      </c>
      <c r="H283">
        <v>2.2961</v>
      </c>
    </row>
    <row r="284" spans="1:8">
      <c r="A284">
        <v>2123</v>
      </c>
      <c r="B284" s="248">
        <v>2.8226</v>
      </c>
      <c r="D284">
        <v>8085</v>
      </c>
      <c r="E284" s="249">
        <v>2.3371825845227949</v>
      </c>
      <c r="G284">
        <v>8103</v>
      </c>
      <c r="H284">
        <v>2.3191000000000002</v>
      </c>
    </row>
    <row r="285" spans="1:8">
      <c r="A285">
        <v>2124</v>
      </c>
      <c r="B285" s="248">
        <v>2.8367</v>
      </c>
      <c r="D285">
        <v>8086</v>
      </c>
      <c r="E285" s="249">
        <v>2.3547114539067162</v>
      </c>
      <c r="G285">
        <v>8104</v>
      </c>
      <c r="H285">
        <v>2.3422999999999998</v>
      </c>
    </row>
    <row r="286" spans="1:8">
      <c r="A286">
        <v>2125</v>
      </c>
      <c r="B286" s="248">
        <v>2.8437999999999999</v>
      </c>
      <c r="D286">
        <v>8087</v>
      </c>
      <c r="E286" s="249">
        <v>2.3723717898110164</v>
      </c>
      <c r="G286">
        <v>8105</v>
      </c>
      <c r="H286">
        <v>2.3656999999999999</v>
      </c>
    </row>
    <row r="287" spans="1:8">
      <c r="A287">
        <v>2126</v>
      </c>
      <c r="B287" s="248">
        <v>2.8509000000000002</v>
      </c>
      <c r="D287">
        <v>8088</v>
      </c>
      <c r="E287" s="249">
        <v>2.3901645782345993</v>
      </c>
      <c r="G287">
        <v>8106</v>
      </c>
      <c r="H287">
        <v>2.3894000000000002</v>
      </c>
    </row>
    <row r="288" spans="1:8">
      <c r="A288">
        <v>2127</v>
      </c>
      <c r="B288" s="248">
        <v>2.8580000000000001</v>
      </c>
      <c r="D288">
        <v>8089</v>
      </c>
      <c r="E288" s="249">
        <v>2.4080908125713587</v>
      </c>
      <c r="G288">
        <v>8107</v>
      </c>
      <c r="H288">
        <v>2.4133</v>
      </c>
    </row>
    <row r="289" spans="1:8">
      <c r="A289">
        <v>2128</v>
      </c>
      <c r="B289" s="248">
        <v>2.8651</v>
      </c>
      <c r="D289">
        <v>8090</v>
      </c>
      <c r="E289" s="249">
        <v>2.4261514936656439</v>
      </c>
      <c r="G289">
        <v>8108</v>
      </c>
      <c r="H289">
        <v>2.4373999999999998</v>
      </c>
    </row>
    <row r="290" spans="1:8">
      <c r="A290">
        <v>2129</v>
      </c>
      <c r="B290" s="248">
        <v>2.8723000000000001</v>
      </c>
      <c r="D290">
        <v>8091</v>
      </c>
      <c r="E290" s="249">
        <v>2.4443476298681368</v>
      </c>
      <c r="G290">
        <v>8109</v>
      </c>
      <c r="H290">
        <v>2.4618000000000002</v>
      </c>
    </row>
    <row r="291" spans="1:8">
      <c r="A291">
        <v>2130</v>
      </c>
      <c r="B291" s="248">
        <v>2.8795000000000002</v>
      </c>
      <c r="D291">
        <v>8092</v>
      </c>
      <c r="E291" s="249">
        <v>2.4626802370921479</v>
      </c>
      <c r="G291">
        <v>8110</v>
      </c>
      <c r="H291">
        <v>2.4864000000000002</v>
      </c>
    </row>
    <row r="292" spans="1:8">
      <c r="A292">
        <v>2131</v>
      </c>
      <c r="B292" s="248">
        <v>2.8866999999999998</v>
      </c>
      <c r="D292">
        <v>8093</v>
      </c>
      <c r="E292" s="249">
        <v>2.4811503388703389</v>
      </c>
      <c r="G292">
        <v>3001</v>
      </c>
      <c r="H292">
        <v>0.35999999999999976</v>
      </c>
    </row>
    <row r="293" spans="1:8">
      <c r="A293">
        <v>2132</v>
      </c>
      <c r="B293" s="248">
        <v>2.8938999999999999</v>
      </c>
      <c r="D293">
        <v>8094</v>
      </c>
      <c r="E293" s="249">
        <v>2.4997589664118665</v>
      </c>
      <c r="G293">
        <v>3002</v>
      </c>
      <c r="H293">
        <v>0.37999999999999978</v>
      </c>
    </row>
    <row r="294" spans="1:8">
      <c r="A294">
        <v>2133</v>
      </c>
      <c r="B294" s="248">
        <v>2.9011</v>
      </c>
      <c r="D294">
        <v>8095</v>
      </c>
      <c r="E294" s="249">
        <v>2.5185071586599559</v>
      </c>
      <c r="G294">
        <v>3003</v>
      </c>
      <c r="H294">
        <v>0.3999999999999998</v>
      </c>
    </row>
    <row r="295" spans="1:8">
      <c r="A295">
        <v>2134</v>
      </c>
      <c r="B295" s="248">
        <v>2.9083999999999999</v>
      </c>
      <c r="D295">
        <v>8096</v>
      </c>
      <c r="E295" s="249">
        <v>2.5373959623499056</v>
      </c>
      <c r="G295">
        <v>3004</v>
      </c>
      <c r="H295">
        <v>0.41999999999999982</v>
      </c>
    </row>
    <row r="296" spans="1:8">
      <c r="A296">
        <v>2135</v>
      </c>
      <c r="B296" s="248">
        <v>2.9157000000000002</v>
      </c>
      <c r="D296">
        <v>8097</v>
      </c>
      <c r="E296" s="249">
        <v>2.5564264320675303</v>
      </c>
      <c r="G296">
        <v>3005</v>
      </c>
      <c r="H296">
        <v>0.43999999999999984</v>
      </c>
    </row>
    <row r="297" spans="1:8">
      <c r="A297">
        <v>2136</v>
      </c>
      <c r="B297" s="248">
        <v>2.923</v>
      </c>
      <c r="D297">
        <v>8098</v>
      </c>
      <c r="E297" s="249">
        <v>2.5755996303080368</v>
      </c>
      <c r="G297">
        <v>3006</v>
      </c>
      <c r="H297">
        <v>0.45999999999999985</v>
      </c>
    </row>
    <row r="298" spans="1:8">
      <c r="A298">
        <v>2137</v>
      </c>
      <c r="B298" s="248">
        <v>2.9302999999999999</v>
      </c>
      <c r="D298">
        <v>8099</v>
      </c>
      <c r="E298" s="249">
        <v>2.5949166275353477</v>
      </c>
      <c r="G298">
        <v>3007</v>
      </c>
      <c r="H298">
        <v>0.47999999999999987</v>
      </c>
    </row>
    <row r="299" spans="1:8">
      <c r="A299">
        <v>2138</v>
      </c>
      <c r="B299" s="248">
        <v>2.9376000000000002</v>
      </c>
      <c r="G299">
        <v>3008</v>
      </c>
      <c r="H299">
        <v>0.49999999999999994</v>
      </c>
    </row>
    <row r="300" spans="1:8">
      <c r="A300">
        <v>2139</v>
      </c>
      <c r="B300" s="248">
        <v>2.9449000000000001</v>
      </c>
      <c r="G300">
        <v>3009</v>
      </c>
      <c r="H300">
        <v>0.51999999999999991</v>
      </c>
    </row>
    <row r="301" spans="1:8">
      <c r="A301">
        <v>2140</v>
      </c>
      <c r="B301" s="248">
        <v>2.9523000000000001</v>
      </c>
      <c r="G301">
        <v>3010</v>
      </c>
      <c r="H301">
        <v>0.53999999999999992</v>
      </c>
    </row>
    <row r="302" spans="1:8">
      <c r="A302">
        <v>2141</v>
      </c>
      <c r="B302" s="248">
        <v>2.9597000000000002</v>
      </c>
      <c r="G302">
        <v>3011</v>
      </c>
      <c r="H302">
        <v>0.55999999999999994</v>
      </c>
    </row>
    <row r="303" spans="1:8">
      <c r="A303">
        <v>2142</v>
      </c>
      <c r="B303" s="248">
        <v>2.9670999999999998</v>
      </c>
      <c r="G303">
        <v>3012</v>
      </c>
      <c r="H303">
        <v>0.57999999999999996</v>
      </c>
    </row>
    <row r="304" spans="1:8">
      <c r="A304">
        <v>2143</v>
      </c>
      <c r="B304" s="248">
        <v>2.9744999999999999</v>
      </c>
      <c r="G304">
        <v>3013</v>
      </c>
      <c r="H304">
        <v>0.6</v>
      </c>
    </row>
    <row r="305" spans="1:8">
      <c r="A305">
        <v>2144</v>
      </c>
      <c r="B305" s="248">
        <v>2.9819</v>
      </c>
      <c r="G305">
        <v>3014</v>
      </c>
      <c r="H305">
        <v>0.62</v>
      </c>
    </row>
    <row r="306" spans="1:8">
      <c r="A306">
        <v>2145</v>
      </c>
      <c r="B306" s="248">
        <v>2.9849000000000001</v>
      </c>
      <c r="G306">
        <v>3015</v>
      </c>
      <c r="H306">
        <v>0.64</v>
      </c>
    </row>
    <row r="307" spans="1:8">
      <c r="A307">
        <v>2146</v>
      </c>
      <c r="B307" s="248">
        <v>2.9878999999999998</v>
      </c>
      <c r="G307">
        <v>3016</v>
      </c>
      <c r="H307">
        <v>0.66</v>
      </c>
    </row>
    <row r="308" spans="1:8">
      <c r="A308">
        <v>2147</v>
      </c>
      <c r="B308" s="248">
        <v>2.9908999999999999</v>
      </c>
      <c r="G308">
        <v>3017</v>
      </c>
      <c r="H308">
        <v>0.68</v>
      </c>
    </row>
    <row r="309" spans="1:8">
      <c r="A309">
        <v>2148</v>
      </c>
      <c r="B309" s="248">
        <v>2.9939</v>
      </c>
      <c r="G309">
        <v>3018</v>
      </c>
      <c r="H309">
        <v>0.7</v>
      </c>
    </row>
    <row r="310" spans="1:8">
      <c r="A310">
        <v>2149</v>
      </c>
      <c r="B310" s="248">
        <v>2.9969000000000001</v>
      </c>
      <c r="G310">
        <v>3019</v>
      </c>
      <c r="H310">
        <v>0.72</v>
      </c>
    </row>
    <row r="311" spans="1:8">
      <c r="A311">
        <v>2150</v>
      </c>
      <c r="B311" s="248">
        <v>2.9998999999999998</v>
      </c>
      <c r="G311">
        <v>3020</v>
      </c>
      <c r="H311">
        <v>0.74</v>
      </c>
    </row>
    <row r="312" spans="1:8">
      <c r="A312">
        <v>2151</v>
      </c>
      <c r="B312" s="248">
        <v>3.0028999999999999</v>
      </c>
      <c r="G312">
        <v>3021</v>
      </c>
      <c r="H312">
        <v>0.76</v>
      </c>
    </row>
    <row r="313" spans="1:8">
      <c r="A313">
        <v>2152</v>
      </c>
      <c r="B313" s="248">
        <v>3.0059</v>
      </c>
      <c r="G313">
        <v>3022</v>
      </c>
      <c r="H313">
        <v>0.78</v>
      </c>
    </row>
    <row r="314" spans="1:8">
      <c r="A314">
        <v>2153</v>
      </c>
      <c r="B314" s="248">
        <v>3.0089000000000001</v>
      </c>
      <c r="G314">
        <v>3023</v>
      </c>
      <c r="H314">
        <v>0.8</v>
      </c>
    </row>
    <row r="315" spans="1:8">
      <c r="A315">
        <v>2154</v>
      </c>
      <c r="B315" s="248">
        <v>3.0118999999999998</v>
      </c>
      <c r="G315">
        <v>3024</v>
      </c>
      <c r="H315">
        <v>0.82000000000000006</v>
      </c>
    </row>
    <row r="316" spans="1:8">
      <c r="A316">
        <v>2155</v>
      </c>
      <c r="B316" s="248">
        <v>3.0148999999999999</v>
      </c>
      <c r="G316">
        <v>3025</v>
      </c>
      <c r="H316">
        <v>0.84000000000000008</v>
      </c>
    </row>
    <row r="317" spans="1:8">
      <c r="A317">
        <v>2156</v>
      </c>
      <c r="B317" s="248">
        <v>3.0179</v>
      </c>
      <c r="G317">
        <v>3026</v>
      </c>
      <c r="H317">
        <v>0.8600000000000001</v>
      </c>
    </row>
    <row r="318" spans="1:8">
      <c r="A318">
        <v>2157</v>
      </c>
      <c r="B318" s="248">
        <v>3.0209000000000001</v>
      </c>
      <c r="G318">
        <v>3027</v>
      </c>
      <c r="H318">
        <v>0.88000000000000012</v>
      </c>
    </row>
    <row r="319" spans="1:8">
      <c r="A319">
        <v>2158</v>
      </c>
      <c r="B319" s="248">
        <v>3.0238999999999998</v>
      </c>
      <c r="G319">
        <v>3028</v>
      </c>
      <c r="H319">
        <v>0.9</v>
      </c>
    </row>
    <row r="320" spans="1:8">
      <c r="A320">
        <v>2159</v>
      </c>
      <c r="B320" s="248">
        <v>3.0268999999999999</v>
      </c>
      <c r="G320">
        <v>3029</v>
      </c>
      <c r="H320">
        <v>0.92000000000000015</v>
      </c>
    </row>
    <row r="321" spans="1:8">
      <c r="A321">
        <v>2160</v>
      </c>
      <c r="B321" s="248">
        <v>3.0299</v>
      </c>
      <c r="G321">
        <v>3030</v>
      </c>
      <c r="H321">
        <v>0.94000000000000017</v>
      </c>
    </row>
    <row r="322" spans="1:8">
      <c r="A322" s="248">
        <v>8002</v>
      </c>
      <c r="B322" s="250">
        <v>0.19089999999999999</v>
      </c>
      <c r="G322">
        <v>3031</v>
      </c>
      <c r="H322">
        <v>0.96000000000000019</v>
      </c>
    </row>
    <row r="323" spans="1:8">
      <c r="A323" s="248">
        <v>8003</v>
      </c>
      <c r="B323" s="250">
        <v>0.2024</v>
      </c>
      <c r="G323">
        <v>3032</v>
      </c>
      <c r="H323">
        <v>0.9800000000000002</v>
      </c>
    </row>
    <row r="324" spans="1:8">
      <c r="A324" s="248">
        <v>8004</v>
      </c>
      <c r="B324" s="250">
        <v>0.2145</v>
      </c>
      <c r="G324">
        <v>3033</v>
      </c>
      <c r="H324">
        <v>1.0000000000000002</v>
      </c>
    </row>
    <row r="325" spans="1:8">
      <c r="A325" s="248">
        <v>8005</v>
      </c>
      <c r="B325" s="250">
        <v>0.22739999999999999</v>
      </c>
      <c r="G325">
        <v>3034</v>
      </c>
      <c r="H325">
        <v>1.0200000000000002</v>
      </c>
    </row>
    <row r="326" spans="1:8">
      <c r="A326" s="248">
        <v>8006</v>
      </c>
      <c r="B326" s="250">
        <v>0.24099999999999999</v>
      </c>
      <c r="G326">
        <v>3035</v>
      </c>
      <c r="H326">
        <v>1.0400000000000003</v>
      </c>
    </row>
    <row r="327" spans="1:8">
      <c r="A327" s="248">
        <v>8007</v>
      </c>
      <c r="B327" s="250">
        <v>0.2555</v>
      </c>
      <c r="G327">
        <v>3036</v>
      </c>
      <c r="H327">
        <v>1.0600000000000003</v>
      </c>
    </row>
    <row r="328" spans="1:8">
      <c r="A328" s="248">
        <v>8008</v>
      </c>
      <c r="B328" s="250">
        <v>0.27079999999999999</v>
      </c>
      <c r="G328">
        <v>3037</v>
      </c>
      <c r="H328">
        <v>1.0793704999999998</v>
      </c>
    </row>
    <row r="329" spans="1:8">
      <c r="A329" s="248">
        <v>8009</v>
      </c>
      <c r="B329" s="250">
        <v>0.28710000000000002</v>
      </c>
      <c r="G329">
        <v>3038</v>
      </c>
      <c r="H329">
        <v>1.0935404999999998</v>
      </c>
    </row>
    <row r="330" spans="1:8">
      <c r="A330" s="248">
        <v>8010</v>
      </c>
      <c r="B330" s="250">
        <v>0.30430000000000001</v>
      </c>
      <c r="G330">
        <v>3039</v>
      </c>
      <c r="H330">
        <v>1.1022888</v>
      </c>
    </row>
    <row r="331" spans="1:8">
      <c r="A331" s="248">
        <v>8011</v>
      </c>
      <c r="B331" s="250">
        <v>0.3226</v>
      </c>
      <c r="G331">
        <v>3040</v>
      </c>
      <c r="H331">
        <v>1.1122650000000001</v>
      </c>
    </row>
    <row r="332" spans="1:8">
      <c r="A332" s="248">
        <v>8012</v>
      </c>
      <c r="B332" s="250">
        <v>0.34200000000000003</v>
      </c>
      <c r="G332">
        <v>3041</v>
      </c>
      <c r="H332">
        <v>1.1180455</v>
      </c>
    </row>
    <row r="333" spans="1:8">
      <c r="A333" s="248">
        <v>8013</v>
      </c>
      <c r="B333" s="250">
        <v>0.36249999999999999</v>
      </c>
      <c r="G333">
        <v>3042</v>
      </c>
      <c r="H333">
        <v>1.1238239999999999</v>
      </c>
    </row>
    <row r="334" spans="1:8">
      <c r="A334" s="248">
        <v>8014</v>
      </c>
      <c r="B334" s="250">
        <v>0.38419999999999999</v>
      </c>
      <c r="G334">
        <v>3043</v>
      </c>
      <c r="H334">
        <v>1.129599</v>
      </c>
    </row>
    <row r="335" spans="1:8">
      <c r="A335" s="248">
        <v>8015</v>
      </c>
      <c r="B335" s="250">
        <v>0.40720000000000001</v>
      </c>
      <c r="G335">
        <v>3044</v>
      </c>
      <c r="H335">
        <v>1.1353690000000003</v>
      </c>
    </row>
    <row r="336" spans="1:8">
      <c r="A336" s="248">
        <v>8016</v>
      </c>
      <c r="B336" s="250">
        <v>0.43159999999999998</v>
      </c>
      <c r="G336">
        <v>3045</v>
      </c>
      <c r="H336">
        <v>1.1412350000000004</v>
      </c>
    </row>
    <row r="337" spans="1:8">
      <c r="A337" s="248">
        <v>8017</v>
      </c>
      <c r="B337" s="250">
        <v>0.45750000000000002</v>
      </c>
      <c r="G337">
        <v>3046</v>
      </c>
      <c r="H337">
        <v>1.1469900000000006</v>
      </c>
    </row>
    <row r="338" spans="1:8">
      <c r="A338" s="248">
        <v>8018</v>
      </c>
      <c r="B338" s="250">
        <v>0.4849</v>
      </c>
      <c r="G338">
        <v>3047</v>
      </c>
      <c r="H338">
        <v>1.1527355000000006</v>
      </c>
    </row>
    <row r="339" spans="1:8">
      <c r="A339" s="248">
        <v>8019</v>
      </c>
      <c r="B339" s="250">
        <v>0.51400000000000001</v>
      </c>
      <c r="G339">
        <v>3048</v>
      </c>
      <c r="H339">
        <v>1.1585710000000007</v>
      </c>
    </row>
    <row r="340" spans="1:8">
      <c r="A340">
        <v>8020</v>
      </c>
      <c r="B340" s="250">
        <v>0.54479999999999995</v>
      </c>
      <c r="G340">
        <v>3049</v>
      </c>
      <c r="H340">
        <v>1.1643930000000009</v>
      </c>
    </row>
    <row r="341" spans="1:8">
      <c r="A341">
        <v>8021</v>
      </c>
      <c r="B341" s="250">
        <v>0.57750000000000001</v>
      </c>
      <c r="G341">
        <v>3050</v>
      </c>
      <c r="H341">
        <v>1.1701999999999999</v>
      </c>
    </row>
    <row r="342" spans="1:8">
      <c r="A342">
        <v>8022</v>
      </c>
      <c r="B342" s="250">
        <v>0.60640000000000005</v>
      </c>
      <c r="G342">
        <v>3051</v>
      </c>
      <c r="H342">
        <v>1.1819</v>
      </c>
    </row>
    <row r="343" spans="1:8">
      <c r="A343">
        <v>8023</v>
      </c>
      <c r="B343" s="250">
        <v>0.63670000000000004</v>
      </c>
      <c r="G343">
        <v>3052</v>
      </c>
      <c r="H343">
        <v>1.1937</v>
      </c>
    </row>
    <row r="344" spans="1:8">
      <c r="A344">
        <v>8024</v>
      </c>
      <c r="B344" s="250">
        <v>0.66849999999999998</v>
      </c>
      <c r="G344">
        <v>3053</v>
      </c>
      <c r="H344">
        <v>1.2056</v>
      </c>
    </row>
    <row r="345" spans="1:8">
      <c r="A345">
        <v>8025</v>
      </c>
      <c r="B345" s="250">
        <v>0.70199999999999996</v>
      </c>
      <c r="G345">
        <v>3054</v>
      </c>
      <c r="H345">
        <v>1.2177</v>
      </c>
    </row>
    <row r="346" spans="1:8">
      <c r="A346">
        <v>8026</v>
      </c>
      <c r="B346" s="250">
        <v>0.73709999999999998</v>
      </c>
      <c r="G346">
        <v>3055</v>
      </c>
      <c r="H346">
        <v>1.2299</v>
      </c>
    </row>
    <row r="347" spans="1:8">
      <c r="A347">
        <v>8027</v>
      </c>
      <c r="B347" s="250">
        <v>0.77390000000000003</v>
      </c>
      <c r="G347">
        <v>3056</v>
      </c>
      <c r="H347">
        <v>1.2422</v>
      </c>
    </row>
    <row r="348" spans="1:8">
      <c r="A348">
        <v>8028</v>
      </c>
      <c r="B348" s="250">
        <v>0.81259999999999999</v>
      </c>
      <c r="G348">
        <v>3057</v>
      </c>
      <c r="H348">
        <v>1.2545999999999999</v>
      </c>
    </row>
    <row r="349" spans="1:8">
      <c r="A349">
        <v>8029</v>
      </c>
      <c r="B349" s="250">
        <v>0.85319999999999996</v>
      </c>
      <c r="G349">
        <v>3058</v>
      </c>
      <c r="H349">
        <v>1.2670999999999999</v>
      </c>
    </row>
    <row r="350" spans="1:8">
      <c r="A350">
        <v>8030</v>
      </c>
      <c r="B350" s="250">
        <v>0.89590000000000003</v>
      </c>
      <c r="G350">
        <v>3059</v>
      </c>
      <c r="H350">
        <v>1.2798</v>
      </c>
    </row>
    <row r="351" spans="1:8">
      <c r="A351">
        <v>8031</v>
      </c>
      <c r="B351" s="250">
        <v>0.93169999999999997</v>
      </c>
      <c r="G351">
        <v>3060</v>
      </c>
      <c r="H351">
        <v>1.2926</v>
      </c>
    </row>
    <row r="352" spans="1:8">
      <c r="A352">
        <v>8032</v>
      </c>
      <c r="B352" s="250">
        <v>0.96899999999999997</v>
      </c>
      <c r="G352">
        <v>3061</v>
      </c>
      <c r="H352">
        <v>1.3055000000000001</v>
      </c>
    </row>
    <row r="353" spans="1:8">
      <c r="A353">
        <v>8033</v>
      </c>
      <c r="B353" s="250">
        <v>1.0078</v>
      </c>
      <c r="G353">
        <v>3062</v>
      </c>
      <c r="H353">
        <v>1.3186</v>
      </c>
    </row>
    <row r="354" spans="1:8">
      <c r="A354">
        <v>8034</v>
      </c>
      <c r="B354" s="250">
        <v>1.0481</v>
      </c>
      <c r="G354">
        <v>3063</v>
      </c>
      <c r="H354">
        <v>1.3318000000000001</v>
      </c>
    </row>
    <row r="355" spans="1:8">
      <c r="A355">
        <v>8035</v>
      </c>
      <c r="B355" s="250">
        <v>1.0900000000000001</v>
      </c>
      <c r="G355">
        <v>3064</v>
      </c>
      <c r="H355">
        <v>1.3451</v>
      </c>
    </row>
    <row r="356" spans="1:8">
      <c r="A356">
        <v>8036</v>
      </c>
      <c r="B356" s="250">
        <v>1.1335999999999999</v>
      </c>
      <c r="G356">
        <v>3065</v>
      </c>
      <c r="H356">
        <v>1.3586</v>
      </c>
    </row>
    <row r="357" spans="1:8">
      <c r="A357">
        <v>8037</v>
      </c>
      <c r="B357" s="250">
        <v>1.1789000000000001</v>
      </c>
      <c r="G357">
        <v>3066</v>
      </c>
      <c r="H357">
        <v>1.3722000000000001</v>
      </c>
    </row>
    <row r="358" spans="1:8">
      <c r="A358">
        <v>8038</v>
      </c>
      <c r="B358" s="250">
        <v>1.2261</v>
      </c>
      <c r="G358">
        <v>3067</v>
      </c>
      <c r="H358">
        <v>1.3858999999999999</v>
      </c>
    </row>
    <row r="359" spans="1:8">
      <c r="A359">
        <v>8039</v>
      </c>
      <c r="B359" s="250">
        <v>1.2750999999999999</v>
      </c>
      <c r="G359">
        <v>3068</v>
      </c>
      <c r="H359">
        <v>1.3997999999999999</v>
      </c>
    </row>
    <row r="360" spans="1:8">
      <c r="A360">
        <v>8040</v>
      </c>
      <c r="B360" s="250">
        <v>1.3261000000000001</v>
      </c>
      <c r="G360">
        <v>3069</v>
      </c>
      <c r="H360">
        <v>1.4137999999999999</v>
      </c>
    </row>
    <row r="361" spans="1:8">
      <c r="A361">
        <v>8041</v>
      </c>
      <c r="B361" s="250">
        <v>1.3593</v>
      </c>
      <c r="G361">
        <v>3070</v>
      </c>
      <c r="H361">
        <v>1.4278999999999999</v>
      </c>
    </row>
    <row r="362" spans="1:8">
      <c r="A362">
        <v>8042</v>
      </c>
      <c r="B362" s="250">
        <v>1.3933</v>
      </c>
    </row>
    <row r="363" spans="1:8">
      <c r="A363">
        <v>8043</v>
      </c>
      <c r="B363" s="250">
        <v>1.4280999999999999</v>
      </c>
    </row>
    <row r="364" spans="1:8">
      <c r="A364">
        <v>8044</v>
      </c>
      <c r="B364" s="250">
        <v>1.4638</v>
      </c>
    </row>
    <row r="365" spans="1:8">
      <c r="A365">
        <v>8045</v>
      </c>
      <c r="B365" s="250">
        <v>1.5004</v>
      </c>
    </row>
    <row r="366" spans="1:8">
      <c r="A366">
        <v>8046</v>
      </c>
      <c r="B366" s="250">
        <v>1.5379</v>
      </c>
    </row>
    <row r="367" spans="1:8">
      <c r="A367">
        <v>8047</v>
      </c>
      <c r="B367" s="250">
        <v>1.5764</v>
      </c>
    </row>
    <row r="368" spans="1:8">
      <c r="A368">
        <v>8048</v>
      </c>
      <c r="B368" s="250">
        <v>1.6157999999999999</v>
      </c>
    </row>
    <row r="369" spans="1:2">
      <c r="A369">
        <v>8049</v>
      </c>
      <c r="B369" s="250">
        <v>1.6561999999999999</v>
      </c>
    </row>
    <row r="370" spans="1:2">
      <c r="A370">
        <v>8050</v>
      </c>
      <c r="B370" s="250">
        <v>1.6976</v>
      </c>
    </row>
    <row r="371" spans="1:2">
      <c r="A371">
        <v>8051</v>
      </c>
      <c r="B371" s="250">
        <v>1.7161999999999999</v>
      </c>
    </row>
    <row r="372" spans="1:2">
      <c r="A372">
        <v>8052</v>
      </c>
      <c r="B372" s="250">
        <v>1.7351000000000001</v>
      </c>
    </row>
    <row r="373" spans="1:2">
      <c r="A373">
        <v>8053</v>
      </c>
      <c r="B373" s="250">
        <v>1.7542</v>
      </c>
    </row>
    <row r="374" spans="1:2">
      <c r="A374">
        <v>8054</v>
      </c>
      <c r="B374" s="250">
        <v>1.7735000000000001</v>
      </c>
    </row>
    <row r="375" spans="1:2">
      <c r="A375">
        <v>8055</v>
      </c>
      <c r="B375" s="250">
        <v>1.7929999999999999</v>
      </c>
    </row>
    <row r="376" spans="1:2">
      <c r="A376">
        <v>8056</v>
      </c>
      <c r="B376" s="250">
        <v>1.8127</v>
      </c>
    </row>
    <row r="377" spans="1:2">
      <c r="A377">
        <v>8057</v>
      </c>
      <c r="B377" s="250">
        <v>1.8327</v>
      </c>
    </row>
    <row r="378" spans="1:2">
      <c r="A378">
        <v>8058</v>
      </c>
      <c r="B378" s="250">
        <v>1.8528</v>
      </c>
    </row>
    <row r="379" spans="1:2">
      <c r="A379">
        <v>8059</v>
      </c>
      <c r="B379" s="250">
        <v>1.8732</v>
      </c>
    </row>
    <row r="380" spans="1:2">
      <c r="A380">
        <v>8060</v>
      </c>
      <c r="B380" s="250">
        <v>1.8937999999999999</v>
      </c>
    </row>
    <row r="381" spans="1:2">
      <c r="A381">
        <v>8061</v>
      </c>
      <c r="B381" s="250">
        <v>1.9147000000000001</v>
      </c>
    </row>
    <row r="382" spans="1:2">
      <c r="A382">
        <v>8062</v>
      </c>
      <c r="B382" s="250">
        <v>1.9357</v>
      </c>
    </row>
    <row r="383" spans="1:2">
      <c r="A383">
        <v>8063</v>
      </c>
      <c r="B383" s="250">
        <v>1.9570000000000001</v>
      </c>
    </row>
    <row r="384" spans="1:2">
      <c r="A384">
        <v>8064</v>
      </c>
      <c r="B384" s="250">
        <v>1.9784999999999999</v>
      </c>
    </row>
    <row r="385" spans="1:2">
      <c r="A385">
        <v>8065</v>
      </c>
      <c r="B385" s="250">
        <v>2.0003000000000002</v>
      </c>
    </row>
    <row r="386" spans="1:2">
      <c r="A386">
        <v>8066</v>
      </c>
      <c r="B386" s="250">
        <v>2.0223</v>
      </c>
    </row>
    <row r="387" spans="1:2">
      <c r="A387">
        <v>8067</v>
      </c>
      <c r="B387" s="250">
        <v>2.0445000000000002</v>
      </c>
    </row>
    <row r="388" spans="1:2">
      <c r="A388">
        <v>8068</v>
      </c>
      <c r="B388" s="250">
        <v>2.0670000000000002</v>
      </c>
    </row>
    <row r="389" spans="1:2">
      <c r="A389">
        <v>8069</v>
      </c>
      <c r="B389" s="250">
        <v>2.0897999999999999</v>
      </c>
    </row>
    <row r="390" spans="1:2">
      <c r="A390">
        <v>8070</v>
      </c>
      <c r="B390" s="250">
        <v>2.1128</v>
      </c>
    </row>
    <row r="391" spans="1:2">
      <c r="A391">
        <v>8071</v>
      </c>
      <c r="B391" s="250">
        <v>2.1339000000000001</v>
      </c>
    </row>
    <row r="392" spans="1:2">
      <c r="A392">
        <v>8072</v>
      </c>
      <c r="B392" s="250">
        <v>2.1551999999999998</v>
      </c>
    </row>
    <row r="393" spans="1:2">
      <c r="A393">
        <v>8073</v>
      </c>
      <c r="B393" s="250">
        <v>2.1768000000000001</v>
      </c>
    </row>
    <row r="394" spans="1:2">
      <c r="A394">
        <v>8074</v>
      </c>
      <c r="B394" s="250">
        <v>2.1985000000000001</v>
      </c>
    </row>
    <row r="395" spans="1:2">
      <c r="A395">
        <v>8075</v>
      </c>
      <c r="B395" s="250">
        <v>2.2204999999999999</v>
      </c>
    </row>
    <row r="396" spans="1:2">
      <c r="A396">
        <v>8076</v>
      </c>
      <c r="B396" s="250">
        <v>2.2427000000000001</v>
      </c>
    </row>
    <row r="397" spans="1:2">
      <c r="A397">
        <v>8077</v>
      </c>
      <c r="B397" s="250">
        <v>2.2652000000000001</v>
      </c>
    </row>
    <row r="398" spans="1:2">
      <c r="A398">
        <v>8078</v>
      </c>
      <c r="B398" s="250">
        <v>2.2877999999999998</v>
      </c>
    </row>
    <row r="399" spans="1:2">
      <c r="A399">
        <v>8079</v>
      </c>
      <c r="B399" s="250">
        <v>2.3107000000000002</v>
      </c>
    </row>
    <row r="400" spans="1:2">
      <c r="A400">
        <v>8080</v>
      </c>
      <c r="B400" s="250">
        <v>2.3338000000000001</v>
      </c>
    </row>
    <row r="401" spans="1:2">
      <c r="A401">
        <v>8081</v>
      </c>
      <c r="B401" s="251">
        <v>2.3513035000000002</v>
      </c>
    </row>
    <row r="402" spans="1:2">
      <c r="A402">
        <v>8082</v>
      </c>
      <c r="B402" s="251">
        <v>2.3689382762500002</v>
      </c>
    </row>
    <row r="403" spans="1:2">
      <c r="A403">
        <v>8083</v>
      </c>
      <c r="B403" s="251">
        <v>2.3867053133218752</v>
      </c>
    </row>
    <row r="404" spans="1:2">
      <c r="A404">
        <v>8084</v>
      </c>
      <c r="B404" s="251">
        <v>2.4046056031717895</v>
      </c>
    </row>
    <row r="405" spans="1:2">
      <c r="A405">
        <v>8085</v>
      </c>
      <c r="B405" s="251">
        <v>2.4226401451955781</v>
      </c>
    </row>
    <row r="406" spans="1:2">
      <c r="A406">
        <v>8086</v>
      </c>
      <c r="B406" s="251">
        <v>2.4408099462845452</v>
      </c>
    </row>
    <row r="407" spans="1:2">
      <c r="A407">
        <v>8087</v>
      </c>
      <c r="B407" s="251">
        <v>2.4591160208816794</v>
      </c>
    </row>
    <row r="408" spans="1:2">
      <c r="A408">
        <v>8088</v>
      </c>
      <c r="B408" s="251">
        <v>2.4775593910382923</v>
      </c>
    </row>
    <row r="409" spans="1:2">
      <c r="A409">
        <v>8089</v>
      </c>
      <c r="B409" s="251">
        <v>2.4961410864710798</v>
      </c>
    </row>
    <row r="410" spans="1:2">
      <c r="A410">
        <v>8090</v>
      </c>
      <c r="B410" s="251">
        <v>2.5148621446196131</v>
      </c>
    </row>
    <row r="411" spans="1:2">
      <c r="A411">
        <v>8091</v>
      </c>
      <c r="B411" s="251">
        <v>2.5337236107042602</v>
      </c>
    </row>
    <row r="412" spans="1:2">
      <c r="A412">
        <v>8092</v>
      </c>
      <c r="B412" s="251">
        <v>2.5527265377845425</v>
      </c>
    </row>
    <row r="413" spans="1:2">
      <c r="A413">
        <v>8093</v>
      </c>
      <c r="B413" s="251">
        <v>2.5718719868179267</v>
      </c>
    </row>
    <row r="414" spans="1:2">
      <c r="A414">
        <v>8094</v>
      </c>
      <c r="B414" s="251">
        <v>2.5911610267190612</v>
      </c>
    </row>
    <row r="415" spans="1:2">
      <c r="A415">
        <v>8095</v>
      </c>
      <c r="B415" s="251">
        <v>2.6105947344194544</v>
      </c>
    </row>
    <row r="416" spans="1:2">
      <c r="A416">
        <v>8096</v>
      </c>
      <c r="B416" s="251">
        <v>2.6301741949276005</v>
      </c>
    </row>
    <row r="417" spans="1:2">
      <c r="A417">
        <v>8097</v>
      </c>
      <c r="B417" s="251">
        <v>2.6499005013895576</v>
      </c>
    </row>
    <row r="418" spans="1:2">
      <c r="A418">
        <v>8098</v>
      </c>
      <c r="B418" s="251">
        <v>2.6697747551499793</v>
      </c>
    </row>
    <row r="419" spans="1:2">
      <c r="A419">
        <v>8099</v>
      </c>
      <c r="B419" s="251">
        <v>2.6897980658136045</v>
      </c>
    </row>
    <row r="420" spans="1:2">
      <c r="A420">
        <v>8100</v>
      </c>
      <c r="B420" s="251">
        <v>2.703247056142672</v>
      </c>
    </row>
    <row r="421" spans="1:2">
      <c r="A421">
        <v>8101</v>
      </c>
      <c r="B421" s="251">
        <v>2.7167632914233852</v>
      </c>
    </row>
    <row r="422" spans="1:2">
      <c r="A422">
        <v>8102</v>
      </c>
      <c r="B422" s="251">
        <v>2.7303471078805019</v>
      </c>
    </row>
    <row r="423" spans="1:2">
      <c r="A423">
        <v>8103</v>
      </c>
      <c r="B423" s="251">
        <v>2.7439988434199041</v>
      </c>
    </row>
    <row r="424" spans="1:2">
      <c r="A424">
        <v>8104</v>
      </c>
      <c r="B424" s="251">
        <v>2.7577188376370034</v>
      </c>
    </row>
    <row r="425" spans="1:2">
      <c r="A425">
        <v>8105</v>
      </c>
      <c r="B425" s="251">
        <v>2.7715074318251882</v>
      </c>
    </row>
    <row r="426" spans="1:2">
      <c r="A426">
        <v>8106</v>
      </c>
      <c r="B426" s="251">
        <v>2.7853649689843141</v>
      </c>
    </row>
    <row r="427" spans="1:2">
      <c r="A427">
        <v>8107</v>
      </c>
      <c r="B427" s="251">
        <v>2.7992917938292354</v>
      </c>
    </row>
    <row r="428" spans="1:2">
      <c r="A428">
        <v>8108</v>
      </c>
      <c r="B428" s="251">
        <v>2.8132882527983814</v>
      </c>
    </row>
    <row r="429" spans="1:2">
      <c r="A429">
        <v>8109</v>
      </c>
      <c r="B429" s="251">
        <v>2.8273546940623731</v>
      </c>
    </row>
    <row r="430" spans="1:2">
      <c r="A430">
        <v>8110</v>
      </c>
      <c r="B430" s="251">
        <v>2.8414914675326846</v>
      </c>
    </row>
    <row r="431" spans="1:2">
      <c r="A431">
        <v>8111</v>
      </c>
      <c r="B431" s="251">
        <v>2.8556989248703477</v>
      </c>
    </row>
    <row r="432" spans="1:2">
      <c r="A432">
        <v>8112</v>
      </c>
      <c r="B432" s="251">
        <v>2.869977419494699</v>
      </c>
    </row>
    <row r="433" spans="1:2">
      <c r="A433">
        <v>8113</v>
      </c>
      <c r="B433" s="251">
        <v>2.884327306592172</v>
      </c>
    </row>
    <row r="434" spans="1:2">
      <c r="A434">
        <v>8114</v>
      </c>
      <c r="B434" s="251">
        <v>2.8987489431251325</v>
      </c>
    </row>
    <row r="435" spans="1:2">
      <c r="A435">
        <v>8115</v>
      </c>
      <c r="B435" s="251">
        <v>2.913242687840758</v>
      </c>
    </row>
    <row r="436" spans="1:2">
      <c r="A436">
        <v>8116</v>
      </c>
      <c r="B436" s="251">
        <v>2.9278089012799615</v>
      </c>
    </row>
    <row r="437" spans="1:2">
      <c r="A437">
        <v>8117</v>
      </c>
      <c r="B437" s="251">
        <v>2.9424479457863608</v>
      </c>
    </row>
    <row r="438" spans="1:2">
      <c r="A438">
        <v>8118</v>
      </c>
      <c r="B438" s="251">
        <v>2.9571601855152925</v>
      </c>
    </row>
    <row r="439" spans="1:2">
      <c r="A439">
        <v>8119</v>
      </c>
      <c r="B439" s="251">
        <v>2.9719459864428686</v>
      </c>
    </row>
    <row r="440" spans="1:2">
      <c r="A440">
        <v>8120</v>
      </c>
      <c r="B440" s="251">
        <v>2.9868057163750827</v>
      </c>
    </row>
    <row r="441" spans="1:2">
      <c r="A441">
        <v>8121</v>
      </c>
      <c r="B441" s="251">
        <v>3.0017397449569581</v>
      </c>
    </row>
    <row r="442" spans="1:2">
      <c r="A442">
        <v>8122</v>
      </c>
      <c r="B442" s="251">
        <v>3.0167484436817427</v>
      </c>
    </row>
    <row r="443" spans="1:2">
      <c r="A443">
        <v>8123</v>
      </c>
      <c r="B443" s="251">
        <v>3.0318321859001509</v>
      </c>
    </row>
    <row r="444" spans="1:2">
      <c r="A444">
        <v>8124</v>
      </c>
      <c r="B444" s="251">
        <v>3.0394117663649012</v>
      </c>
    </row>
    <row r="445" spans="1:2">
      <c r="A445">
        <v>8125</v>
      </c>
      <c r="B445" s="251">
        <v>3.0470102957808134</v>
      </c>
    </row>
    <row r="446" spans="1:2">
      <c r="A446">
        <v>8126</v>
      </c>
      <c r="B446" s="251">
        <v>3.0546278215202651</v>
      </c>
    </row>
    <row r="447" spans="1:2">
      <c r="A447">
        <v>8127</v>
      </c>
      <c r="B447" s="251">
        <v>3.0622643910740655</v>
      </c>
    </row>
    <row r="448" spans="1:2">
      <c r="A448">
        <v>8128</v>
      </c>
      <c r="B448" s="251">
        <v>3.0699200520517507</v>
      </c>
    </row>
    <row r="449" spans="1:2">
      <c r="A449">
        <v>8129</v>
      </c>
      <c r="B449" s="251">
        <v>3.0775948521818797</v>
      </c>
    </row>
    <row r="450" spans="1:2">
      <c r="A450">
        <v>8130</v>
      </c>
      <c r="B450" s="251">
        <v>3.0852888393123341</v>
      </c>
    </row>
    <row r="451" spans="1:2">
      <c r="A451">
        <v>8131</v>
      </c>
      <c r="B451" s="251">
        <v>3.0930020614106146</v>
      </c>
    </row>
    <row r="452" spans="1:2">
      <c r="A452">
        <v>8132</v>
      </c>
      <c r="B452" s="251">
        <v>3.100734566564141</v>
      </c>
    </row>
    <row r="453" spans="1:2">
      <c r="A453">
        <v>8133</v>
      </c>
      <c r="B453" s="251">
        <v>3.1084864029805512</v>
      </c>
    </row>
    <row r="454" spans="1:2">
      <c r="A454">
        <v>8134</v>
      </c>
      <c r="B454" s="251">
        <v>3.1162576189880022</v>
      </c>
    </row>
    <row r="455" spans="1:2">
      <c r="A455">
        <v>8135</v>
      </c>
      <c r="B455" s="251">
        <v>3.1240482630354722</v>
      </c>
    </row>
    <row r="456" spans="1:2">
      <c r="A456">
        <v>8136</v>
      </c>
      <c r="B456" s="251">
        <v>3.1318583836930607</v>
      </c>
    </row>
    <row r="457" spans="1:2">
      <c r="A457">
        <v>8137</v>
      </c>
      <c r="B457" s="251">
        <v>3.1396880296522931</v>
      </c>
    </row>
    <row r="458" spans="1:2">
      <c r="A458">
        <v>8138</v>
      </c>
      <c r="B458" s="251">
        <v>3.1475372497264238</v>
      </c>
    </row>
    <row r="459" spans="1:2">
      <c r="A459">
        <v>8139</v>
      </c>
      <c r="B459" s="251">
        <v>3.1554060928507397</v>
      </c>
    </row>
    <row r="460" spans="1:2">
      <c r="A460">
        <v>8140</v>
      </c>
      <c r="B460" s="251">
        <v>3.1632946080828663</v>
      </c>
    </row>
    <row r="461" spans="1:2">
      <c r="A461">
        <v>8141</v>
      </c>
      <c r="B461" s="251">
        <v>3.1712028446030733</v>
      </c>
    </row>
    <row r="462" spans="1:2">
      <c r="A462">
        <v>8142</v>
      </c>
      <c r="B462" s="251">
        <v>3.1791308517145809</v>
      </c>
    </row>
    <row r="463" spans="1:2">
      <c r="A463">
        <v>8143</v>
      </c>
      <c r="B463" s="251">
        <v>3.187078678843867</v>
      </c>
    </row>
    <row r="464" spans="1:2">
      <c r="A464">
        <v>8144</v>
      </c>
      <c r="B464" s="251">
        <v>3.1902657575227105</v>
      </c>
    </row>
    <row r="465" spans="1:2">
      <c r="A465">
        <v>8145</v>
      </c>
      <c r="B465" s="251">
        <v>3.1934560232802327</v>
      </c>
    </row>
    <row r="466" spans="1:2">
      <c r="A466">
        <v>8146</v>
      </c>
      <c r="B466" s="251">
        <v>3.1966494793035127</v>
      </c>
    </row>
    <row r="467" spans="1:2">
      <c r="A467">
        <v>8147</v>
      </c>
      <c r="B467" s="251">
        <v>3.1998461287828159</v>
      </c>
    </row>
    <row r="468" spans="1:2">
      <c r="A468">
        <v>8148</v>
      </c>
      <c r="B468" s="251">
        <v>3.2030459749115985</v>
      </c>
    </row>
    <row r="469" spans="1:2">
      <c r="A469">
        <v>8149</v>
      </c>
      <c r="B469" s="251">
        <v>3.2062490208865095</v>
      </c>
    </row>
    <row r="470" spans="1:2">
      <c r="A470">
        <v>8150</v>
      </c>
      <c r="B470" s="251">
        <v>3.2094552699073957</v>
      </c>
    </row>
    <row r="471" spans="1:2">
      <c r="A471">
        <v>8151</v>
      </c>
      <c r="B471" s="251">
        <v>3.2126647251773028</v>
      </c>
    </row>
    <row r="472" spans="1:2">
      <c r="A472">
        <v>8152</v>
      </c>
      <c r="B472" s="251">
        <v>3.21587738990248</v>
      </c>
    </row>
    <row r="473" spans="1:2">
      <c r="A473">
        <v>8153</v>
      </c>
      <c r="B473" s="251">
        <v>3.219093267292382</v>
      </c>
    </row>
    <row r="474" spans="1:2">
      <c r="A474">
        <v>8154</v>
      </c>
      <c r="B474" s="251">
        <v>3.2223123605596742</v>
      </c>
    </row>
    <row r="475" spans="1:2">
      <c r="A475">
        <v>8155</v>
      </c>
      <c r="B475" s="251">
        <v>3.2255346729202334</v>
      </c>
    </row>
    <row r="476" spans="1:2">
      <c r="A476">
        <v>8156</v>
      </c>
      <c r="B476" s="251">
        <v>3.2287602075931532</v>
      </c>
    </row>
    <row r="477" spans="1:2">
      <c r="A477">
        <v>8157</v>
      </c>
      <c r="B477" s="251">
        <v>3.2319889678007461</v>
      </c>
    </row>
    <row r="478" spans="1:2">
      <c r="A478">
        <v>8158</v>
      </c>
      <c r="B478" s="251">
        <v>3.2352209567685466</v>
      </c>
    </row>
    <row r="479" spans="1:2">
      <c r="A479">
        <v>8159</v>
      </c>
      <c r="B479" s="251">
        <v>3.2384561777253147</v>
      </c>
    </row>
    <row r="480" spans="1:2">
      <c r="A480">
        <v>8160</v>
      </c>
      <c r="B480" s="251">
        <v>3.2416946339030397</v>
      </c>
    </row>
  </sheetData>
  <conditionalFormatting sqref="E2:E9">
    <cfRule type="colorScale" priority="1">
      <colorScale>
        <cfvo type="num" val="0.7"/>
        <cfvo type="num" val="1.5"/>
        <cfvo type="num" val="3"/>
        <color rgb="FF63BE7B"/>
        <color rgb="FFFFEB84"/>
        <color rgb="FFF8696B"/>
      </colorScale>
    </cfRule>
  </conditionalFormatting>
  <conditionalFormatting sqref="E10">
    <cfRule type="colorScale" priority="2">
      <colorScale>
        <cfvo type="num" val="0.7"/>
        <cfvo type="num" val="1.5"/>
        <cfvo type="num" val="3"/>
        <color rgb="FF63BE7B"/>
        <color rgb="FFFFEB84"/>
        <color rgb="FFF8696B"/>
      </colorScale>
    </cfRule>
  </conditionalFormatting>
  <conditionalFormatting sqref="E11:E20">
    <cfRule type="colorScale" priority="3">
      <colorScale>
        <cfvo type="num" val="0.7"/>
        <cfvo type="num" val="1.5"/>
        <cfvo type="num" val="3"/>
        <color rgb="FF63BE7B"/>
        <color rgb="FFFFEB84"/>
        <color rgb="FFF8696B"/>
      </colorScale>
    </cfRule>
  </conditionalFormatting>
  <conditionalFormatting sqref="E21:E298">
    <cfRule type="colorScale" priority="4">
      <colorScale>
        <cfvo type="num" val="0.7"/>
        <cfvo type="num" val="1.5"/>
        <cfvo type="num" val="3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C152-1B69-4159-9866-36C7CDFD35B8}">
  <dimension ref="A2:A14"/>
  <sheetViews>
    <sheetView workbookViewId="0"/>
  </sheetViews>
  <sheetFormatPr defaultRowHeight="15"/>
  <sheetData>
    <row r="2" spans="1:1">
      <c r="A2" t="s">
        <v>362</v>
      </c>
    </row>
    <row r="3" spans="1:1">
      <c r="A3" t="s">
        <v>363</v>
      </c>
    </row>
    <row r="4" spans="1:1">
      <c r="A4" t="s">
        <v>364</v>
      </c>
    </row>
    <row r="5" spans="1:1">
      <c r="A5" t="s">
        <v>365</v>
      </c>
    </row>
    <row r="6" spans="1:1">
      <c r="A6" t="s">
        <v>445</v>
      </c>
    </row>
    <row r="8" spans="1:1">
      <c r="A8" t="s">
        <v>451</v>
      </c>
    </row>
    <row r="9" spans="1:1">
      <c r="A9" t="s">
        <v>455</v>
      </c>
    </row>
    <row r="10" spans="1:1">
      <c r="A10" t="s">
        <v>452</v>
      </c>
    </row>
    <row r="11" spans="1:1">
      <c r="A11" t="s">
        <v>453</v>
      </c>
    </row>
    <row r="12" spans="1:1">
      <c r="A12" t="s">
        <v>454</v>
      </c>
    </row>
    <row r="14" spans="1:1">
      <c r="A14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AC05-B2AC-4155-9AC7-DB666EF6782A}">
  <dimension ref="A2:AS20"/>
  <sheetViews>
    <sheetView topLeftCell="A3" workbookViewId="0"/>
  </sheetViews>
  <sheetFormatPr defaultRowHeight="15"/>
  <sheetData>
    <row r="2" spans="1:45" ht="127.5">
      <c r="B2" s="44" t="s">
        <v>165</v>
      </c>
      <c r="Q2" t="s">
        <v>172</v>
      </c>
      <c r="AF2" s="44" t="s">
        <v>170</v>
      </c>
    </row>
    <row r="3" spans="1:45">
      <c r="B3" s="45"/>
      <c r="AF3" s="45"/>
    </row>
    <row r="4" spans="1:45">
      <c r="B4" s="45"/>
      <c r="D4">
        <v>1</v>
      </c>
      <c r="E4">
        <v>8</v>
      </c>
      <c r="F4">
        <f>F6</f>
        <v>8.5</v>
      </c>
      <c r="G4">
        <f t="shared" ref="G4:O4" si="0">G6</f>
        <v>9</v>
      </c>
      <c r="H4">
        <f t="shared" si="0"/>
        <v>9.5</v>
      </c>
      <c r="I4">
        <f t="shared" si="0"/>
        <v>10</v>
      </c>
      <c r="J4">
        <f t="shared" si="0"/>
        <v>10.5</v>
      </c>
      <c r="K4">
        <f t="shared" si="0"/>
        <v>11</v>
      </c>
      <c r="L4">
        <f t="shared" si="0"/>
        <v>11.5</v>
      </c>
      <c r="M4">
        <f t="shared" si="0"/>
        <v>12</v>
      </c>
      <c r="N4">
        <f t="shared" si="0"/>
        <v>12.5</v>
      </c>
      <c r="O4">
        <f t="shared" si="0"/>
        <v>13.5</v>
      </c>
      <c r="AF4" s="45"/>
    </row>
    <row r="5" spans="1:45" ht="15.75" thickBot="1">
      <c r="B5" s="45"/>
      <c r="D5">
        <v>4</v>
      </c>
      <c r="E5">
        <f>D5+1</f>
        <v>5</v>
      </c>
      <c r="F5">
        <f t="shared" ref="F5:AS5" si="1">E5+1</f>
        <v>6</v>
      </c>
      <c r="G5">
        <f t="shared" si="1"/>
        <v>7</v>
      </c>
      <c r="H5">
        <f t="shared" si="1"/>
        <v>8</v>
      </c>
      <c r="I5">
        <f t="shared" si="1"/>
        <v>9</v>
      </c>
      <c r="J5">
        <f t="shared" si="1"/>
        <v>10</v>
      </c>
      <c r="K5">
        <f t="shared" si="1"/>
        <v>11</v>
      </c>
      <c r="L5">
        <f t="shared" si="1"/>
        <v>12</v>
      </c>
      <c r="M5">
        <f t="shared" si="1"/>
        <v>13</v>
      </c>
      <c r="N5">
        <f t="shared" si="1"/>
        <v>14</v>
      </c>
      <c r="O5">
        <f t="shared" si="1"/>
        <v>15</v>
      </c>
      <c r="P5">
        <f t="shared" si="1"/>
        <v>16</v>
      </c>
      <c r="Q5">
        <f t="shared" si="1"/>
        <v>17</v>
      </c>
      <c r="R5">
        <f t="shared" si="1"/>
        <v>18</v>
      </c>
      <c r="S5">
        <f t="shared" si="1"/>
        <v>19</v>
      </c>
      <c r="T5">
        <f t="shared" si="1"/>
        <v>20</v>
      </c>
      <c r="U5">
        <f t="shared" si="1"/>
        <v>21</v>
      </c>
      <c r="V5">
        <f t="shared" si="1"/>
        <v>22</v>
      </c>
      <c r="W5">
        <f t="shared" si="1"/>
        <v>23</v>
      </c>
      <c r="X5">
        <f t="shared" si="1"/>
        <v>24</v>
      </c>
      <c r="Y5">
        <f t="shared" si="1"/>
        <v>25</v>
      </c>
      <c r="Z5">
        <f t="shared" si="1"/>
        <v>26</v>
      </c>
      <c r="AA5">
        <f t="shared" si="1"/>
        <v>27</v>
      </c>
      <c r="AB5">
        <f t="shared" si="1"/>
        <v>28</v>
      </c>
      <c r="AC5">
        <f t="shared" si="1"/>
        <v>29</v>
      </c>
      <c r="AD5">
        <f t="shared" si="1"/>
        <v>30</v>
      </c>
      <c r="AE5">
        <f t="shared" si="1"/>
        <v>31</v>
      </c>
      <c r="AF5">
        <f t="shared" si="1"/>
        <v>32</v>
      </c>
      <c r="AG5">
        <f t="shared" si="1"/>
        <v>33</v>
      </c>
      <c r="AH5">
        <f t="shared" si="1"/>
        <v>34</v>
      </c>
      <c r="AI5">
        <f t="shared" si="1"/>
        <v>35</v>
      </c>
      <c r="AJ5">
        <f t="shared" si="1"/>
        <v>36</v>
      </c>
      <c r="AK5">
        <f t="shared" si="1"/>
        <v>37</v>
      </c>
      <c r="AL5">
        <f t="shared" si="1"/>
        <v>38</v>
      </c>
      <c r="AM5">
        <f t="shared" si="1"/>
        <v>39</v>
      </c>
      <c r="AN5">
        <f t="shared" si="1"/>
        <v>40</v>
      </c>
      <c r="AO5">
        <f t="shared" si="1"/>
        <v>41</v>
      </c>
      <c r="AP5">
        <f t="shared" si="1"/>
        <v>42</v>
      </c>
      <c r="AQ5">
        <f t="shared" si="1"/>
        <v>43</v>
      </c>
      <c r="AR5">
        <f t="shared" si="1"/>
        <v>44</v>
      </c>
      <c r="AS5">
        <f t="shared" si="1"/>
        <v>45</v>
      </c>
    </row>
    <row r="6" spans="1:45" ht="15.75" thickBot="1">
      <c r="B6" s="13" t="s">
        <v>166</v>
      </c>
      <c r="C6" s="13" t="s">
        <v>20</v>
      </c>
      <c r="D6" s="13" t="s">
        <v>167</v>
      </c>
      <c r="E6" s="13">
        <v>8</v>
      </c>
      <c r="F6" s="13">
        <v>8.5</v>
      </c>
      <c r="G6" s="13">
        <v>9</v>
      </c>
      <c r="H6" s="13">
        <v>9.5</v>
      </c>
      <c r="I6" s="13">
        <v>10</v>
      </c>
      <c r="J6" s="13">
        <v>10.5</v>
      </c>
      <c r="K6" s="13">
        <v>11</v>
      </c>
      <c r="L6" s="13">
        <v>11.5</v>
      </c>
      <c r="M6" s="13">
        <v>12</v>
      </c>
      <c r="N6" s="13">
        <v>12.5</v>
      </c>
      <c r="O6" s="13">
        <v>13.5</v>
      </c>
      <c r="Q6" s="13" t="s">
        <v>166</v>
      </c>
      <c r="R6" s="13" t="s">
        <v>20</v>
      </c>
      <c r="S6" s="13" t="s">
        <v>167</v>
      </c>
      <c r="T6" s="13">
        <v>8</v>
      </c>
      <c r="U6" s="13">
        <v>8.5</v>
      </c>
      <c r="V6" s="13">
        <v>9</v>
      </c>
      <c r="W6" s="13">
        <v>9.5</v>
      </c>
      <c r="X6" s="13">
        <v>10</v>
      </c>
      <c r="Y6" s="13">
        <v>10.5</v>
      </c>
      <c r="Z6" s="13">
        <v>11</v>
      </c>
      <c r="AA6" s="13">
        <v>11.5</v>
      </c>
      <c r="AB6" s="13">
        <v>12</v>
      </c>
      <c r="AC6" s="13">
        <v>12.5</v>
      </c>
      <c r="AD6" s="13">
        <v>13.5</v>
      </c>
      <c r="AF6" s="13" t="s">
        <v>166</v>
      </c>
      <c r="AG6" s="13" t="s">
        <v>20</v>
      </c>
      <c r="AH6" s="13" t="s">
        <v>167</v>
      </c>
      <c r="AI6" s="13">
        <v>8</v>
      </c>
      <c r="AJ6" s="13">
        <v>8.5</v>
      </c>
      <c r="AK6" s="13">
        <v>9</v>
      </c>
      <c r="AL6" s="13">
        <v>9.5</v>
      </c>
      <c r="AM6" s="13">
        <v>10</v>
      </c>
      <c r="AN6" s="13">
        <v>10.5</v>
      </c>
      <c r="AO6" s="13">
        <v>11</v>
      </c>
      <c r="AP6" s="13">
        <v>11.5</v>
      </c>
      <c r="AQ6" s="13">
        <v>12</v>
      </c>
      <c r="AR6" s="13">
        <v>12.5</v>
      </c>
      <c r="AS6" s="13">
        <v>13.5</v>
      </c>
    </row>
    <row r="7" spans="1:45" ht="16.5" thickTop="1" thickBot="1">
      <c r="B7" s="16" t="s">
        <v>20</v>
      </c>
      <c r="C7" s="46">
        <v>0.49</v>
      </c>
      <c r="D7" s="46">
        <v>0.74</v>
      </c>
      <c r="E7" s="46">
        <v>0.6</v>
      </c>
      <c r="F7" s="46">
        <v>0.54</v>
      </c>
      <c r="G7" s="46">
        <v>0.5</v>
      </c>
      <c r="H7" s="46">
        <v>0.46</v>
      </c>
      <c r="I7" s="46">
        <v>0.45</v>
      </c>
      <c r="J7" s="46">
        <v>0.43</v>
      </c>
      <c r="K7" s="46">
        <v>0.42</v>
      </c>
      <c r="L7" s="46">
        <v>0.4</v>
      </c>
      <c r="M7" s="46">
        <v>0.39</v>
      </c>
      <c r="N7" s="46">
        <v>0.37</v>
      </c>
      <c r="O7" s="46">
        <v>0.32</v>
      </c>
      <c r="Q7" s="16" t="s">
        <v>20</v>
      </c>
      <c r="R7" s="46">
        <v>0.14000000000000001</v>
      </c>
      <c r="S7" s="46">
        <v>0.32</v>
      </c>
      <c r="T7" s="46">
        <v>0.2</v>
      </c>
      <c r="U7" s="46">
        <v>0.16</v>
      </c>
      <c r="V7" s="46">
        <v>0.14000000000000001</v>
      </c>
      <c r="W7" s="46">
        <v>0.13</v>
      </c>
      <c r="X7" s="46">
        <v>0.12</v>
      </c>
      <c r="Y7" s="46">
        <v>0.11</v>
      </c>
      <c r="Z7" s="46">
        <v>0.1</v>
      </c>
      <c r="AA7" s="46">
        <v>0.1</v>
      </c>
      <c r="AB7" s="46">
        <v>0.1</v>
      </c>
      <c r="AC7" s="46">
        <v>0.09</v>
      </c>
      <c r="AD7" s="46">
        <v>0.08</v>
      </c>
      <c r="AF7" s="16" t="s">
        <v>20</v>
      </c>
      <c r="AG7" s="46">
        <v>0.3</v>
      </c>
      <c r="AH7" s="46">
        <v>0.4</v>
      </c>
      <c r="AI7" s="46">
        <v>0.33</v>
      </c>
      <c r="AJ7" s="46">
        <v>0.31</v>
      </c>
      <c r="AK7" s="46">
        <v>0.3</v>
      </c>
      <c r="AL7" s="46">
        <v>0.28999999999999998</v>
      </c>
      <c r="AM7" s="46">
        <v>0.28999999999999998</v>
      </c>
      <c r="AN7" s="46">
        <v>0.28999999999999998</v>
      </c>
      <c r="AO7" s="46">
        <v>0.28000000000000003</v>
      </c>
      <c r="AP7" s="46">
        <v>0.27</v>
      </c>
      <c r="AQ7" s="46">
        <v>0.27</v>
      </c>
      <c r="AR7" s="46">
        <v>0.26</v>
      </c>
      <c r="AS7" s="46">
        <v>0.26</v>
      </c>
    </row>
    <row r="8" spans="1:45" ht="15.75" thickBot="1">
      <c r="A8">
        <v>1</v>
      </c>
      <c r="B8" s="16" t="s">
        <v>168</v>
      </c>
      <c r="C8" s="46">
        <v>0.16</v>
      </c>
      <c r="D8" s="46">
        <v>0.41</v>
      </c>
      <c r="E8" s="46">
        <v>0.2</v>
      </c>
      <c r="F8" s="46">
        <v>0.18</v>
      </c>
      <c r="G8" s="46">
        <v>0.12</v>
      </c>
      <c r="H8" s="46">
        <v>0.08</v>
      </c>
      <c r="I8" s="46">
        <v>0.09</v>
      </c>
      <c r="J8" s="46">
        <v>0.09</v>
      </c>
      <c r="K8" s="46">
        <v>0.05</v>
      </c>
      <c r="L8" s="46">
        <v>7.0000000000000007E-2</v>
      </c>
      <c r="M8" s="46">
        <v>0.03</v>
      </c>
      <c r="N8" s="46">
        <v>0.08</v>
      </c>
      <c r="O8" s="46">
        <v>0.03</v>
      </c>
      <c r="Q8" s="16" t="s">
        <v>168</v>
      </c>
      <c r="R8" s="46">
        <v>0.03</v>
      </c>
      <c r="S8" s="46">
        <v>0.09</v>
      </c>
      <c r="T8" s="46">
        <v>0.04</v>
      </c>
      <c r="U8" s="46">
        <v>0.03</v>
      </c>
      <c r="V8" s="46">
        <v>0.03</v>
      </c>
      <c r="W8" s="46">
        <v>0.01</v>
      </c>
      <c r="X8" s="46">
        <v>0.02</v>
      </c>
      <c r="Y8" s="46">
        <v>0.01</v>
      </c>
      <c r="Z8" s="46">
        <v>0.01</v>
      </c>
      <c r="AA8" s="46">
        <v>0.02</v>
      </c>
      <c r="AB8" s="46">
        <v>0.01</v>
      </c>
      <c r="AC8" s="46">
        <v>0.01</v>
      </c>
      <c r="AD8" s="46">
        <v>0.01</v>
      </c>
      <c r="AF8" s="16" t="s">
        <v>168</v>
      </c>
      <c r="AG8" s="46">
        <v>0.22</v>
      </c>
      <c r="AH8" s="46">
        <v>0.28000000000000003</v>
      </c>
      <c r="AI8" s="46">
        <v>0.23</v>
      </c>
      <c r="AJ8" s="46">
        <v>0.22</v>
      </c>
      <c r="AK8" s="46">
        <v>0.21</v>
      </c>
      <c r="AL8" s="46">
        <v>0.22</v>
      </c>
      <c r="AM8" s="46">
        <v>0.22</v>
      </c>
      <c r="AN8" s="46">
        <v>0.22</v>
      </c>
      <c r="AO8" s="46">
        <v>0.21</v>
      </c>
      <c r="AP8" s="46">
        <v>0.17</v>
      </c>
      <c r="AQ8" s="46">
        <v>0.21</v>
      </c>
      <c r="AR8" s="46">
        <v>0.19</v>
      </c>
      <c r="AS8" s="46">
        <v>0.2</v>
      </c>
    </row>
    <row r="9" spans="1:45" ht="15.75" thickBot="1">
      <c r="A9">
        <v>6</v>
      </c>
      <c r="B9" s="16">
        <v>6</v>
      </c>
      <c r="C9" s="46">
        <v>0.3</v>
      </c>
      <c r="D9" s="46">
        <v>0.56000000000000005</v>
      </c>
      <c r="E9" s="46">
        <v>0.36</v>
      </c>
      <c r="F9" s="46">
        <v>0.32</v>
      </c>
      <c r="G9" s="46">
        <v>0.25</v>
      </c>
      <c r="H9" s="46">
        <v>0.22</v>
      </c>
      <c r="I9" s="46">
        <v>0.22</v>
      </c>
      <c r="J9" s="46">
        <v>0.2</v>
      </c>
      <c r="K9" s="46">
        <v>0.2</v>
      </c>
      <c r="L9" s="46">
        <v>0.14000000000000001</v>
      </c>
      <c r="M9" s="46">
        <v>0.17</v>
      </c>
      <c r="N9" s="46">
        <v>0.12</v>
      </c>
      <c r="O9" s="46">
        <v>0.11</v>
      </c>
      <c r="Q9" s="16">
        <v>6</v>
      </c>
      <c r="R9" s="46">
        <v>0.06</v>
      </c>
      <c r="S9" s="46">
        <v>0.18</v>
      </c>
      <c r="T9" s="46">
        <v>0.09</v>
      </c>
      <c r="U9" s="46">
        <v>7.0000000000000007E-2</v>
      </c>
      <c r="V9" s="46">
        <v>0.05</v>
      </c>
      <c r="W9" s="46">
        <v>0.04</v>
      </c>
      <c r="X9" s="46">
        <v>0.03</v>
      </c>
      <c r="Y9" s="46">
        <v>0.03</v>
      </c>
      <c r="Z9" s="46">
        <v>0.03</v>
      </c>
      <c r="AA9" s="46">
        <v>0.03</v>
      </c>
      <c r="AB9" s="46">
        <v>0.04</v>
      </c>
      <c r="AC9" s="46">
        <v>0.02</v>
      </c>
      <c r="AD9" s="46">
        <v>0.01</v>
      </c>
      <c r="AF9" s="16">
        <v>6</v>
      </c>
      <c r="AG9" s="46">
        <v>0.25</v>
      </c>
      <c r="AH9" s="46">
        <v>0.33</v>
      </c>
      <c r="AI9" s="46">
        <v>0.27</v>
      </c>
      <c r="AJ9" s="46">
        <v>0.26</v>
      </c>
      <c r="AK9" s="46">
        <v>0.23</v>
      </c>
      <c r="AL9" s="46">
        <v>0.22</v>
      </c>
      <c r="AM9" s="46">
        <v>0.24</v>
      </c>
      <c r="AN9" s="46">
        <v>0.24</v>
      </c>
      <c r="AO9" s="46">
        <v>0.23</v>
      </c>
      <c r="AP9" s="46">
        <v>0.2</v>
      </c>
      <c r="AQ9" s="46">
        <v>0.24</v>
      </c>
      <c r="AR9" s="46">
        <v>0.23</v>
      </c>
      <c r="AS9" s="46">
        <v>0.22</v>
      </c>
    </row>
    <row r="10" spans="1:45" ht="15.75" thickBot="1">
      <c r="A10">
        <v>6.5</v>
      </c>
      <c r="B10" s="16">
        <v>6.5</v>
      </c>
      <c r="C10" s="46">
        <v>0.41</v>
      </c>
      <c r="D10" s="46">
        <v>0.7</v>
      </c>
      <c r="E10" s="46">
        <v>0.53</v>
      </c>
      <c r="F10" s="46">
        <v>0.47</v>
      </c>
      <c r="G10" s="46">
        <v>0.37</v>
      </c>
      <c r="H10" s="46">
        <v>0.34</v>
      </c>
      <c r="I10" s="46">
        <v>0.31</v>
      </c>
      <c r="J10" s="46">
        <v>0.24</v>
      </c>
      <c r="K10" s="46">
        <v>0.33</v>
      </c>
      <c r="L10" s="46">
        <v>0.27</v>
      </c>
      <c r="M10" s="46">
        <v>0.24</v>
      </c>
      <c r="N10" s="46">
        <v>0.24</v>
      </c>
      <c r="O10" s="46">
        <v>0.15</v>
      </c>
      <c r="Q10" s="16">
        <v>6.5</v>
      </c>
      <c r="R10" s="46">
        <v>0.1</v>
      </c>
      <c r="S10" s="46">
        <v>0.25</v>
      </c>
      <c r="T10" s="46">
        <v>0.16</v>
      </c>
      <c r="U10" s="46">
        <v>0.1</v>
      </c>
      <c r="V10" s="46">
        <v>0.1</v>
      </c>
      <c r="W10" s="46">
        <v>0.09</v>
      </c>
      <c r="X10" s="46">
        <v>7.0000000000000007E-2</v>
      </c>
      <c r="Y10" s="46">
        <v>0.08</v>
      </c>
      <c r="Z10" s="46">
        <v>0.06</v>
      </c>
      <c r="AA10" s="46">
        <v>0.05</v>
      </c>
      <c r="AB10" s="46">
        <v>0.04</v>
      </c>
      <c r="AC10" s="46">
        <v>0.05</v>
      </c>
      <c r="AD10" s="46">
        <v>0.04</v>
      </c>
      <c r="AF10" s="16">
        <v>6.5</v>
      </c>
      <c r="AG10" s="46">
        <v>0.27</v>
      </c>
      <c r="AH10" s="46">
        <v>0.37</v>
      </c>
      <c r="AI10" s="46">
        <v>0.3</v>
      </c>
      <c r="AJ10" s="46">
        <v>0.28000000000000003</v>
      </c>
      <c r="AK10" s="46">
        <v>0.26</v>
      </c>
      <c r="AL10" s="46">
        <v>0.27</v>
      </c>
      <c r="AM10" s="46">
        <v>0.25</v>
      </c>
      <c r="AN10" s="46">
        <v>0.25</v>
      </c>
      <c r="AO10" s="46">
        <v>0.24</v>
      </c>
      <c r="AP10" s="46">
        <v>0.25</v>
      </c>
      <c r="AQ10" s="46">
        <v>0.25</v>
      </c>
      <c r="AR10" s="46">
        <v>0.19</v>
      </c>
      <c r="AS10" s="46">
        <v>0.24</v>
      </c>
    </row>
    <row r="11" spans="1:45" ht="15.75" thickBot="1">
      <c r="A11">
        <v>7</v>
      </c>
      <c r="B11" s="16">
        <v>7</v>
      </c>
      <c r="C11" s="46">
        <v>0.45</v>
      </c>
      <c r="D11" s="46">
        <v>0.71</v>
      </c>
      <c r="E11" s="46">
        <v>0.53</v>
      </c>
      <c r="F11" s="46">
        <v>0.52</v>
      </c>
      <c r="G11" s="46">
        <v>0.43</v>
      </c>
      <c r="H11" s="46">
        <v>0.38</v>
      </c>
      <c r="I11" s="46">
        <v>0.37</v>
      </c>
      <c r="J11" s="46">
        <v>0.41</v>
      </c>
      <c r="K11" s="46">
        <v>0.3</v>
      </c>
      <c r="L11" s="46">
        <v>0.34</v>
      </c>
      <c r="M11" s="46">
        <v>0.31</v>
      </c>
      <c r="N11" s="46">
        <v>0.23</v>
      </c>
      <c r="O11" s="46">
        <v>0.14000000000000001</v>
      </c>
      <c r="Q11" s="16">
        <v>7</v>
      </c>
      <c r="R11" s="46">
        <v>0.13</v>
      </c>
      <c r="S11" s="46">
        <v>0.33</v>
      </c>
      <c r="T11" s="46">
        <v>0.19</v>
      </c>
      <c r="U11" s="46">
        <v>0.17</v>
      </c>
      <c r="V11" s="46">
        <v>0.13</v>
      </c>
      <c r="W11" s="46">
        <v>0.11</v>
      </c>
      <c r="X11" s="46">
        <v>0.1</v>
      </c>
      <c r="Y11" s="46">
        <v>0.08</v>
      </c>
      <c r="Z11" s="46">
        <v>0.08</v>
      </c>
      <c r="AA11" s="46">
        <v>7.0000000000000007E-2</v>
      </c>
      <c r="AB11" s="46">
        <v>0.06</v>
      </c>
      <c r="AC11" s="46">
        <v>7.0000000000000007E-2</v>
      </c>
      <c r="AD11" s="46">
        <v>0.04</v>
      </c>
      <c r="AF11" s="16">
        <v>7</v>
      </c>
      <c r="AG11" s="46">
        <v>0.28999999999999998</v>
      </c>
      <c r="AH11" s="46">
        <v>0.4</v>
      </c>
      <c r="AI11" s="46">
        <v>0.33</v>
      </c>
      <c r="AJ11" s="46">
        <v>0.31</v>
      </c>
      <c r="AK11" s="46">
        <v>0.28999999999999998</v>
      </c>
      <c r="AL11" s="46">
        <v>0.28000000000000003</v>
      </c>
      <c r="AM11" s="46">
        <v>0.28000000000000003</v>
      </c>
      <c r="AN11" s="46">
        <v>0.27</v>
      </c>
      <c r="AO11" s="46">
        <v>0.25</v>
      </c>
      <c r="AP11" s="46">
        <v>0.26</v>
      </c>
      <c r="AQ11" s="46">
        <v>0.24</v>
      </c>
      <c r="AR11" s="46">
        <v>0.24</v>
      </c>
      <c r="AS11" s="46">
        <v>0.24</v>
      </c>
    </row>
    <row r="12" spans="1:45" ht="15.75" thickBot="1">
      <c r="A12">
        <f>B12</f>
        <v>7.25</v>
      </c>
      <c r="B12" s="16">
        <v>7.25</v>
      </c>
      <c r="C12" s="46">
        <v>0.47</v>
      </c>
      <c r="D12" s="46">
        <v>0.77</v>
      </c>
      <c r="E12" s="46">
        <v>0.54</v>
      </c>
      <c r="F12" s="46">
        <v>0.49</v>
      </c>
      <c r="G12" s="46">
        <v>0.53</v>
      </c>
      <c r="H12" s="46">
        <v>0.43</v>
      </c>
      <c r="I12" s="46">
        <v>0.43</v>
      </c>
      <c r="J12" s="46">
        <v>0.38</v>
      </c>
      <c r="K12" s="46">
        <v>0.33</v>
      </c>
      <c r="L12" s="46">
        <v>0.28000000000000003</v>
      </c>
      <c r="M12" s="46">
        <v>0.36</v>
      </c>
      <c r="N12" s="46">
        <v>0.28000000000000003</v>
      </c>
      <c r="O12" s="46">
        <v>0.22</v>
      </c>
      <c r="Q12" s="16">
        <v>7.25</v>
      </c>
      <c r="R12" s="46">
        <v>0.14000000000000001</v>
      </c>
      <c r="S12" s="46">
        <v>0.35</v>
      </c>
      <c r="T12" s="46">
        <v>0.21</v>
      </c>
      <c r="U12" s="46">
        <v>0.16</v>
      </c>
      <c r="V12" s="46">
        <v>0.13</v>
      </c>
      <c r="W12" s="46">
        <v>0.11</v>
      </c>
      <c r="X12" s="46">
        <v>0.13</v>
      </c>
      <c r="Y12" s="46">
        <v>0.1</v>
      </c>
      <c r="Z12" s="46">
        <v>0.09</v>
      </c>
      <c r="AA12" s="46">
        <v>0.08</v>
      </c>
      <c r="AB12" s="46">
        <v>0.09</v>
      </c>
      <c r="AC12" s="46">
        <v>0.05</v>
      </c>
      <c r="AD12" s="46">
        <v>0.06</v>
      </c>
      <c r="AF12" s="16">
        <v>7.25</v>
      </c>
      <c r="AG12" s="46">
        <v>0.28999999999999998</v>
      </c>
      <c r="AH12" s="46">
        <v>0.39</v>
      </c>
      <c r="AI12" s="46">
        <v>0.32</v>
      </c>
      <c r="AJ12" s="46">
        <v>0.3</v>
      </c>
      <c r="AK12" s="46">
        <v>0.28999999999999998</v>
      </c>
      <c r="AL12" s="46">
        <v>0.28000000000000003</v>
      </c>
      <c r="AM12" s="46">
        <v>0.27</v>
      </c>
      <c r="AN12" s="46">
        <v>0.25</v>
      </c>
      <c r="AO12" s="46">
        <v>0.27</v>
      </c>
      <c r="AP12" s="46">
        <v>0.27</v>
      </c>
      <c r="AQ12" s="46">
        <v>0.27</v>
      </c>
      <c r="AR12" s="46">
        <v>0.26</v>
      </c>
      <c r="AS12" s="46">
        <v>0.25</v>
      </c>
    </row>
    <row r="13" spans="1:45" ht="15.75" thickBot="1">
      <c r="A13">
        <f t="shared" ref="A13:A19" si="2">B13</f>
        <v>7.5</v>
      </c>
      <c r="B13" s="16">
        <v>7.5</v>
      </c>
      <c r="C13" s="46">
        <v>0.5</v>
      </c>
      <c r="D13" s="46">
        <v>0.77</v>
      </c>
      <c r="E13" s="46">
        <v>0.61</v>
      </c>
      <c r="F13" s="46">
        <v>0.55000000000000004</v>
      </c>
      <c r="G13" s="46">
        <v>0.52</v>
      </c>
      <c r="H13" s="46">
        <v>0.47</v>
      </c>
      <c r="I13" s="46">
        <v>0.45</v>
      </c>
      <c r="J13" s="46">
        <v>0.43</v>
      </c>
      <c r="K13" s="46">
        <v>0.4</v>
      </c>
      <c r="L13" s="46">
        <v>0.32</v>
      </c>
      <c r="M13" s="46">
        <v>0.38</v>
      </c>
      <c r="N13" s="46">
        <v>0.33</v>
      </c>
      <c r="O13" s="46">
        <v>0.28000000000000003</v>
      </c>
      <c r="Q13" s="16">
        <v>7.5</v>
      </c>
      <c r="R13" s="46">
        <v>0.15</v>
      </c>
      <c r="S13" s="46">
        <v>0.36</v>
      </c>
      <c r="T13" s="46">
        <v>0.22</v>
      </c>
      <c r="U13" s="46">
        <v>0.18</v>
      </c>
      <c r="V13" s="46">
        <v>0.15</v>
      </c>
      <c r="W13" s="46">
        <v>0.13</v>
      </c>
      <c r="X13" s="46">
        <v>0.13</v>
      </c>
      <c r="Y13" s="46">
        <v>0.1</v>
      </c>
      <c r="Z13" s="46">
        <v>0.1</v>
      </c>
      <c r="AA13" s="46">
        <v>0.1</v>
      </c>
      <c r="AB13" s="46">
        <v>0.09</v>
      </c>
      <c r="AC13" s="46">
        <v>0.08</v>
      </c>
      <c r="AD13" s="46">
        <v>0.05</v>
      </c>
      <c r="AF13" s="16">
        <v>7.5</v>
      </c>
      <c r="AG13" s="46">
        <v>0.3</v>
      </c>
      <c r="AH13" s="46">
        <v>0.43</v>
      </c>
      <c r="AI13" s="46">
        <v>0.34</v>
      </c>
      <c r="AJ13" s="46">
        <v>0.31</v>
      </c>
      <c r="AK13" s="46">
        <v>0.3</v>
      </c>
      <c r="AL13" s="46">
        <v>0.28999999999999998</v>
      </c>
      <c r="AM13" s="46">
        <v>0.28999999999999998</v>
      </c>
      <c r="AN13" s="46">
        <v>0.28000000000000003</v>
      </c>
      <c r="AO13" s="46">
        <v>0.27</v>
      </c>
      <c r="AP13" s="46">
        <v>0.27</v>
      </c>
      <c r="AQ13" s="46">
        <v>0.26</v>
      </c>
      <c r="AR13" s="46">
        <v>0.26</v>
      </c>
      <c r="AS13" s="46">
        <v>0.26</v>
      </c>
    </row>
    <row r="14" spans="1:45" ht="15.75" thickBot="1">
      <c r="A14">
        <f t="shared" si="2"/>
        <v>8</v>
      </c>
      <c r="B14" s="16">
        <v>8</v>
      </c>
      <c r="C14" s="46">
        <v>0.51</v>
      </c>
      <c r="D14" s="46">
        <v>0.79</v>
      </c>
      <c r="E14" s="46">
        <v>0.65</v>
      </c>
      <c r="F14" s="46">
        <v>0.57999999999999996</v>
      </c>
      <c r="G14" s="46">
        <v>0.52</v>
      </c>
      <c r="H14" s="46">
        <v>0.48</v>
      </c>
      <c r="I14" s="46">
        <v>0.45</v>
      </c>
      <c r="J14" s="46">
        <v>0.43</v>
      </c>
      <c r="K14" s="46">
        <v>0.44</v>
      </c>
      <c r="L14" s="46">
        <v>0.4</v>
      </c>
      <c r="M14" s="46">
        <v>0.35</v>
      </c>
      <c r="N14" s="46">
        <v>0.36</v>
      </c>
      <c r="O14" s="46">
        <v>0.31</v>
      </c>
      <c r="Q14" s="16">
        <v>8</v>
      </c>
      <c r="R14" s="46">
        <v>0.15</v>
      </c>
      <c r="S14" s="46">
        <v>0.39</v>
      </c>
      <c r="T14" s="46">
        <v>0.24</v>
      </c>
      <c r="U14" s="46">
        <v>0.19</v>
      </c>
      <c r="V14" s="46">
        <v>0.16</v>
      </c>
      <c r="W14" s="46">
        <v>0.14000000000000001</v>
      </c>
      <c r="X14" s="46">
        <v>0.13</v>
      </c>
      <c r="Y14" s="46">
        <v>0.12</v>
      </c>
      <c r="Z14" s="46">
        <v>0.12</v>
      </c>
      <c r="AA14" s="46">
        <v>0.1</v>
      </c>
      <c r="AB14" s="46">
        <v>0.08</v>
      </c>
      <c r="AC14" s="46">
        <v>7.0000000000000007E-2</v>
      </c>
      <c r="AD14" s="46">
        <v>7.0000000000000007E-2</v>
      </c>
      <c r="AF14" s="16">
        <v>8</v>
      </c>
      <c r="AG14" s="46">
        <v>0.31</v>
      </c>
      <c r="AH14" s="46">
        <v>0.42</v>
      </c>
      <c r="AI14" s="46">
        <v>0.35</v>
      </c>
      <c r="AJ14" s="46">
        <v>0.33</v>
      </c>
      <c r="AK14" s="46">
        <v>0.31</v>
      </c>
      <c r="AL14" s="46">
        <v>0.31</v>
      </c>
      <c r="AM14" s="46">
        <v>0.28000000000000003</v>
      </c>
      <c r="AN14" s="46">
        <v>0.28000000000000003</v>
      </c>
      <c r="AO14" s="46">
        <v>0.3</v>
      </c>
      <c r="AP14" s="46">
        <v>0.28000000000000003</v>
      </c>
      <c r="AQ14" s="46">
        <v>0.27</v>
      </c>
      <c r="AR14" s="46">
        <v>0.26</v>
      </c>
      <c r="AS14" s="46">
        <v>0.26</v>
      </c>
    </row>
    <row r="15" spans="1:45" ht="15.75" thickBot="1">
      <c r="A15">
        <f t="shared" si="2"/>
        <v>8.5</v>
      </c>
      <c r="B15" s="16">
        <v>8.5</v>
      </c>
      <c r="C15" s="46">
        <v>0.53</v>
      </c>
      <c r="D15" s="46">
        <v>0.78</v>
      </c>
      <c r="E15" s="46">
        <v>0.67</v>
      </c>
      <c r="F15" s="46">
        <v>0.63</v>
      </c>
      <c r="G15" s="46">
        <v>0.56999999999999995</v>
      </c>
      <c r="H15" s="46">
        <v>0.51</v>
      </c>
      <c r="I15" s="46">
        <v>0.48</v>
      </c>
      <c r="J15" s="46">
        <v>0.46</v>
      </c>
      <c r="K15" s="46">
        <v>0.47</v>
      </c>
      <c r="L15" s="46">
        <v>0.39</v>
      </c>
      <c r="M15" s="46">
        <v>0.38</v>
      </c>
      <c r="N15" s="46">
        <v>0.36</v>
      </c>
      <c r="O15" s="46">
        <v>0.28000000000000003</v>
      </c>
      <c r="Q15" s="16">
        <v>8.5</v>
      </c>
      <c r="R15" s="46">
        <v>0.16</v>
      </c>
      <c r="S15" s="46">
        <v>0.41</v>
      </c>
      <c r="T15" s="46">
        <v>0.24</v>
      </c>
      <c r="U15" s="46">
        <v>0.22</v>
      </c>
      <c r="V15" s="46">
        <v>0.17</v>
      </c>
      <c r="W15" s="46">
        <v>0.16</v>
      </c>
      <c r="X15" s="46">
        <v>0.13</v>
      </c>
      <c r="Y15" s="46">
        <v>0.14000000000000001</v>
      </c>
      <c r="Z15" s="46">
        <v>0.1</v>
      </c>
      <c r="AA15" s="46">
        <v>0.08</v>
      </c>
      <c r="AB15" s="46">
        <v>0.1</v>
      </c>
      <c r="AC15" s="46">
        <v>0.08</v>
      </c>
      <c r="AD15" s="46">
        <v>7.0000000000000007E-2</v>
      </c>
      <c r="AF15" s="16">
        <v>8.5</v>
      </c>
      <c r="AG15" s="46">
        <v>0.31</v>
      </c>
      <c r="AH15" s="46">
        <v>0.43</v>
      </c>
      <c r="AI15" s="46">
        <v>0.38</v>
      </c>
      <c r="AJ15" s="46">
        <v>0.33</v>
      </c>
      <c r="AK15" s="46">
        <v>0.33</v>
      </c>
      <c r="AL15" s="46">
        <v>0.31</v>
      </c>
      <c r="AM15" s="46">
        <v>0.32</v>
      </c>
      <c r="AN15" s="46">
        <v>0.28999999999999998</v>
      </c>
      <c r="AO15" s="46">
        <v>0.26</v>
      </c>
      <c r="AP15" s="46">
        <v>0.26</v>
      </c>
      <c r="AQ15" s="46">
        <v>0.27</v>
      </c>
      <c r="AR15" s="46">
        <v>0.27</v>
      </c>
      <c r="AS15" s="46">
        <v>0.26</v>
      </c>
    </row>
    <row r="16" spans="1:45" ht="15.75" thickBot="1">
      <c r="A16">
        <f t="shared" si="2"/>
        <v>9</v>
      </c>
      <c r="B16" s="16">
        <v>9</v>
      </c>
      <c r="C16" s="46">
        <v>0.53</v>
      </c>
      <c r="D16" s="46">
        <v>0.82</v>
      </c>
      <c r="E16" s="46">
        <v>0.73</v>
      </c>
      <c r="F16" s="46">
        <v>0.62</v>
      </c>
      <c r="G16" s="46">
        <v>0.52</v>
      </c>
      <c r="H16" s="46">
        <v>0.53</v>
      </c>
      <c r="I16" s="46">
        <v>0.54</v>
      </c>
      <c r="J16" s="46">
        <v>0.47</v>
      </c>
      <c r="K16" s="46">
        <v>0.45</v>
      </c>
      <c r="L16" s="46">
        <v>0.45</v>
      </c>
      <c r="M16" s="46">
        <v>0.4</v>
      </c>
      <c r="N16" s="46">
        <v>0.37</v>
      </c>
      <c r="O16" s="46">
        <v>0.34</v>
      </c>
      <c r="Q16" s="16">
        <v>9</v>
      </c>
      <c r="R16" s="46">
        <v>0.16</v>
      </c>
      <c r="S16" s="46">
        <v>0.42</v>
      </c>
      <c r="T16" s="46">
        <v>0.26</v>
      </c>
      <c r="U16" s="46">
        <v>0.21</v>
      </c>
      <c r="V16" s="46">
        <v>0.19</v>
      </c>
      <c r="W16" s="46">
        <v>0.18</v>
      </c>
      <c r="X16" s="46">
        <v>0.14000000000000001</v>
      </c>
      <c r="Y16" s="46">
        <v>0.14000000000000001</v>
      </c>
      <c r="Z16" s="46">
        <v>0.11</v>
      </c>
      <c r="AA16" s="46">
        <v>0.13</v>
      </c>
      <c r="AB16" s="46">
        <v>0.12</v>
      </c>
      <c r="AC16" s="46">
        <v>0.09</v>
      </c>
      <c r="AD16" s="46">
        <v>7.0000000000000007E-2</v>
      </c>
      <c r="AF16" s="16">
        <v>9</v>
      </c>
      <c r="AG16" s="46">
        <v>0.31</v>
      </c>
      <c r="AH16" s="46">
        <v>0.47</v>
      </c>
      <c r="AI16" s="46">
        <v>0.36</v>
      </c>
      <c r="AJ16" s="46">
        <v>0.34</v>
      </c>
      <c r="AK16" s="46">
        <v>0.31</v>
      </c>
      <c r="AL16" s="46">
        <v>0.31</v>
      </c>
      <c r="AM16" s="46">
        <v>0.3</v>
      </c>
      <c r="AN16" s="46">
        <v>0.31</v>
      </c>
      <c r="AO16" s="46">
        <v>0.27</v>
      </c>
      <c r="AP16" s="46">
        <v>0.28999999999999998</v>
      </c>
      <c r="AQ16" s="46">
        <v>0.28000000000000003</v>
      </c>
      <c r="AR16" s="46">
        <v>0.26</v>
      </c>
      <c r="AS16" s="46">
        <v>0.27</v>
      </c>
    </row>
    <row r="17" spans="1:45" ht="15.75" thickBot="1">
      <c r="A17">
        <f t="shared" si="2"/>
        <v>9.5</v>
      </c>
      <c r="B17" s="16">
        <v>9.5</v>
      </c>
      <c r="C17" s="46">
        <v>0.55000000000000004</v>
      </c>
      <c r="D17" s="46">
        <v>0.83</v>
      </c>
      <c r="E17" s="46">
        <v>0.7</v>
      </c>
      <c r="F17" s="46">
        <v>0.65</v>
      </c>
      <c r="G17" s="46">
        <v>0.62</v>
      </c>
      <c r="H17" s="46">
        <v>0.55000000000000004</v>
      </c>
      <c r="I17" s="46">
        <v>0.54</v>
      </c>
      <c r="J17" s="46">
        <v>0.5</v>
      </c>
      <c r="K17" s="46">
        <v>0.48</v>
      </c>
      <c r="L17" s="46">
        <v>0.51</v>
      </c>
      <c r="M17" s="46">
        <v>0.41</v>
      </c>
      <c r="N17" s="46">
        <v>0.42</v>
      </c>
      <c r="O17" s="46">
        <v>0.31</v>
      </c>
      <c r="Q17" s="16">
        <v>9.5</v>
      </c>
      <c r="R17" s="46">
        <v>0.17</v>
      </c>
      <c r="S17" s="46">
        <v>0.45</v>
      </c>
      <c r="T17" s="46">
        <v>0.27</v>
      </c>
      <c r="U17" s="46">
        <v>0.25</v>
      </c>
      <c r="V17" s="46">
        <v>0.19</v>
      </c>
      <c r="W17" s="46">
        <v>0.19</v>
      </c>
      <c r="X17" s="46">
        <v>0.16</v>
      </c>
      <c r="Y17" s="46">
        <v>0.13</v>
      </c>
      <c r="Z17" s="46">
        <v>0.13</v>
      </c>
      <c r="AA17" s="46">
        <v>0.13</v>
      </c>
      <c r="AB17" s="46">
        <v>0.11</v>
      </c>
      <c r="AC17" s="46">
        <v>0.1</v>
      </c>
      <c r="AD17" s="46">
        <v>0.1</v>
      </c>
      <c r="AF17" s="16">
        <v>9.5</v>
      </c>
      <c r="AG17" s="46">
        <v>0.31</v>
      </c>
      <c r="AH17" s="46">
        <v>0.46</v>
      </c>
      <c r="AI17" s="46">
        <v>0.37</v>
      </c>
      <c r="AJ17" s="46">
        <v>0.34</v>
      </c>
      <c r="AK17" s="46">
        <v>0.32</v>
      </c>
      <c r="AL17" s="46">
        <v>0.31</v>
      </c>
      <c r="AM17" s="46">
        <v>0.3</v>
      </c>
      <c r="AN17" s="46">
        <v>0.32</v>
      </c>
      <c r="AO17" s="46">
        <v>0.3</v>
      </c>
      <c r="AP17" s="46">
        <v>0.28999999999999998</v>
      </c>
      <c r="AQ17" s="46">
        <v>0.28999999999999998</v>
      </c>
      <c r="AR17" s="46">
        <v>0.25</v>
      </c>
      <c r="AS17" s="46">
        <v>0.27</v>
      </c>
    </row>
    <row r="18" spans="1:45" ht="15.75" thickBot="1">
      <c r="A18">
        <f t="shared" si="2"/>
        <v>10.25</v>
      </c>
      <c r="B18" s="16">
        <v>10.25</v>
      </c>
      <c r="C18" s="46">
        <v>0.59</v>
      </c>
      <c r="D18" s="46">
        <v>0.84</v>
      </c>
      <c r="E18" s="46">
        <v>0.76</v>
      </c>
      <c r="F18" s="46">
        <v>0.69</v>
      </c>
      <c r="G18" s="46">
        <v>0.65</v>
      </c>
      <c r="H18" s="46">
        <v>0.62</v>
      </c>
      <c r="I18" s="46">
        <v>0.59</v>
      </c>
      <c r="J18" s="46">
        <v>0.57999999999999996</v>
      </c>
      <c r="K18" s="46">
        <v>0.56000000000000005</v>
      </c>
      <c r="L18" s="46">
        <v>0.51</v>
      </c>
      <c r="M18" s="46">
        <v>0.53</v>
      </c>
      <c r="N18" s="46">
        <v>0.46</v>
      </c>
      <c r="O18" s="46">
        <v>0.4</v>
      </c>
      <c r="Q18" s="16">
        <v>10.25</v>
      </c>
      <c r="R18" s="46">
        <v>0.2</v>
      </c>
      <c r="S18" s="46">
        <v>0.5</v>
      </c>
      <c r="T18" s="46">
        <v>0.37</v>
      </c>
      <c r="U18" s="46">
        <v>0.28000000000000003</v>
      </c>
      <c r="V18" s="46">
        <v>0.24</v>
      </c>
      <c r="W18" s="46">
        <v>0.22</v>
      </c>
      <c r="X18" s="46">
        <v>0.2</v>
      </c>
      <c r="Y18" s="46">
        <v>0.19</v>
      </c>
      <c r="Z18" s="46">
        <v>0.16</v>
      </c>
      <c r="AA18" s="46">
        <v>0.17</v>
      </c>
      <c r="AB18" s="46">
        <v>0.15</v>
      </c>
      <c r="AC18" s="46">
        <v>0.15</v>
      </c>
      <c r="AD18" s="46">
        <v>0.1</v>
      </c>
      <c r="AF18" s="16">
        <v>10.25</v>
      </c>
      <c r="AG18" s="46">
        <v>0.33</v>
      </c>
      <c r="AH18" s="46">
        <v>0.48</v>
      </c>
      <c r="AI18" s="46">
        <v>0.4</v>
      </c>
      <c r="AJ18" s="46">
        <v>0.36</v>
      </c>
      <c r="AK18" s="46">
        <v>0.36</v>
      </c>
      <c r="AL18" s="46">
        <v>0.33</v>
      </c>
      <c r="AM18" s="46">
        <v>0.34</v>
      </c>
      <c r="AN18" s="46">
        <v>0.32</v>
      </c>
      <c r="AO18" s="46">
        <v>0.31</v>
      </c>
      <c r="AP18" s="46">
        <v>0.3</v>
      </c>
      <c r="AQ18" s="46">
        <v>0.31</v>
      </c>
      <c r="AR18" s="46">
        <v>0.31</v>
      </c>
      <c r="AS18" s="46">
        <v>0.28000000000000003</v>
      </c>
    </row>
    <row r="19" spans="1:45" ht="15.75" thickBot="1">
      <c r="A19">
        <f t="shared" si="2"/>
        <v>11.5</v>
      </c>
      <c r="B19" s="16">
        <v>11.5</v>
      </c>
      <c r="C19" s="46">
        <v>0.65</v>
      </c>
      <c r="D19" s="46">
        <v>0.87</v>
      </c>
      <c r="E19" s="46">
        <v>0.8</v>
      </c>
      <c r="F19" s="46">
        <v>0.75</v>
      </c>
      <c r="G19" s="46">
        <v>0.7</v>
      </c>
      <c r="H19" s="46">
        <v>0.67</v>
      </c>
      <c r="I19" s="46">
        <v>0.65</v>
      </c>
      <c r="J19" s="46">
        <v>0.63</v>
      </c>
      <c r="K19" s="46">
        <v>0.6</v>
      </c>
      <c r="L19" s="46">
        <v>0.57999999999999996</v>
      </c>
      <c r="M19" s="46">
        <v>0.59</v>
      </c>
      <c r="N19" s="46">
        <v>0.53</v>
      </c>
      <c r="O19" s="46">
        <v>0.5</v>
      </c>
      <c r="Q19" s="16">
        <v>11.5</v>
      </c>
      <c r="R19" s="46">
        <v>0.23</v>
      </c>
      <c r="S19" s="46">
        <v>0.53</v>
      </c>
      <c r="T19" s="46">
        <v>0.36</v>
      </c>
      <c r="U19" s="46">
        <v>0.31</v>
      </c>
      <c r="V19" s="46">
        <v>0.27</v>
      </c>
      <c r="W19" s="46">
        <v>0.24</v>
      </c>
      <c r="X19" s="46">
        <v>0.24</v>
      </c>
      <c r="Y19" s="46">
        <v>0.19</v>
      </c>
      <c r="Z19" s="46">
        <v>0.21</v>
      </c>
      <c r="AA19" s="46">
        <v>0.19</v>
      </c>
      <c r="AB19" s="46">
        <v>0.17</v>
      </c>
      <c r="AC19" s="46">
        <v>0.15</v>
      </c>
      <c r="AD19" s="46">
        <v>0.14000000000000001</v>
      </c>
      <c r="AF19" s="16">
        <v>11.5</v>
      </c>
      <c r="AG19" s="46">
        <v>0.35</v>
      </c>
      <c r="AH19" s="46">
        <v>0.47</v>
      </c>
      <c r="AI19" s="46">
        <v>0.43</v>
      </c>
      <c r="AJ19" s="46">
        <v>0.38</v>
      </c>
      <c r="AK19" s="46">
        <v>0.39</v>
      </c>
      <c r="AL19" s="46">
        <v>0.35</v>
      </c>
      <c r="AM19" s="46">
        <v>0.36</v>
      </c>
      <c r="AN19" s="46">
        <v>0.35</v>
      </c>
      <c r="AO19" s="46">
        <v>0.33</v>
      </c>
      <c r="AP19" s="46">
        <v>0.32</v>
      </c>
      <c r="AQ19" s="46">
        <v>0.32</v>
      </c>
      <c r="AR19" s="46">
        <v>0.31</v>
      </c>
      <c r="AS19" s="46">
        <v>0.31</v>
      </c>
    </row>
    <row r="20" spans="1:45" ht="63.75">
      <c r="B20" s="47"/>
      <c r="Q20" s="47" t="s">
        <v>169</v>
      </c>
      <c r="AF20" s="4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simulator</vt:lpstr>
      <vt:lpstr>lkup_simul</vt:lpstr>
      <vt:lpstr>conv_Kstars</vt:lpstr>
      <vt:lpstr>hts_calculator</vt:lpstr>
      <vt:lpstr>version_notes</vt:lpstr>
      <vt:lpstr>dfk_pk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nickarana</dc:creator>
  <cp:lastModifiedBy>nickarana</cp:lastModifiedBy>
  <dcterms:created xsi:type="dcterms:W3CDTF">2022-09-22T10:22:56Z</dcterms:created>
  <dcterms:modified xsi:type="dcterms:W3CDTF">2026-03-12T11:04:22Z</dcterms:modified>
</cp:coreProperties>
</file>